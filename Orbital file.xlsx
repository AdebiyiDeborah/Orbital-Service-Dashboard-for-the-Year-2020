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pivotTables/pivotTable7.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heme/themeOverride1.xml" ContentType="application/vnd.openxmlformats-officedocument.themeOverrid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2.xml" ContentType="application/vnd.openxmlformats-officedocument.themeOverrid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3.xml" ContentType="application/vnd.openxmlformats-officedocument.themeOverrid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4.xml" ContentType="application/vnd.openxmlformats-officedocument.themeOverrid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theme/themeOverride5.xml" ContentType="application/vnd.openxmlformats-officedocument.themeOverride+xml"/>
  <Override PartName="/xl/charts/chartEx2.xml" ContentType="application/vnd.ms-office.chartex+xml"/>
  <Override PartName="/xl/charts/style19.xml" ContentType="application/vnd.ms-office.chartstyle+xml"/>
  <Override PartName="/xl/charts/colors19.xml" ContentType="application/vnd.ms-office.chartcolorstyle+xml"/>
  <Override PartName="/xl/theme/themeOverride6.xml" ContentType="application/vnd.openxmlformats-officedocument.themeOverrid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theme/themeOverride7.xml" ContentType="application/vnd.openxmlformats-officedocument.themeOverride+xml"/>
  <Override PartName="/xl/drawings/drawing17.xml" ContentType="application/vnd.openxmlformats-officedocument.drawing+xml"/>
  <Override PartName="/xl/slicers/slicer2.xml" ContentType="application/vnd.ms-excel.slicer+xml"/>
  <Override PartName="/xl/charts/chartEx3.xml" ContentType="application/vnd.ms-office.chartex+xml"/>
  <Override PartName="/xl/charts/style21.xml" ContentType="application/vnd.ms-office.chartstyle+xml"/>
  <Override PartName="/xl/charts/colors21.xml" ContentType="application/vnd.ms-office.chartcolorstyle+xml"/>
  <Override PartName="/xl/theme/themeOverride8.xml" ContentType="application/vnd.openxmlformats-officedocument.themeOverrid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9.xml" ContentType="application/vnd.openxmlformats-officedocument.themeOverrid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1.xml" ContentType="application/vnd.ms-excel.person+xml"/>
  <Override PartName="/xl/persons/person0.xml" ContentType="application/vnd.ms-excel.person+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DB50CED0-F15E-456E-8DC0-B796F4390FE8}" xr6:coauthVersionLast="47" xr6:coauthVersionMax="47" xr10:uidLastSave="{00000000-0000-0000-0000-000000000000}"/>
  <bookViews>
    <workbookView xWindow="-120" yWindow="-120" windowWidth="20730" windowHeight="11160" tabRatio="542" firstSheet="18" activeTab="18" xr2:uid="{00000000-000D-0000-FFFF-FFFF00000000}"/>
  </bookViews>
  <sheets>
    <sheet name="Pre Analysis Board" sheetId="27" r:id="rId1"/>
    <sheet name="Product By Sale Category" sheetId="25" r:id="rId2"/>
    <sheet name="Task" sheetId="15" r:id="rId3"/>
    <sheet name="In Analysis Board" sheetId="18" r:id="rId4"/>
    <sheet name="Top ten customers" sheetId="19" r:id="rId5"/>
    <sheet name="Sales Performance" sheetId="20" r:id="rId6"/>
    <sheet name="Regional Performance" sheetId="21" r:id="rId7"/>
    <sheet name="Sales Trend Report" sheetId="24" r:id="rId8"/>
    <sheet name="Transaction By Amount" sheetId="26" r:id="rId9"/>
    <sheet name="In Analysis" sheetId="28" r:id="rId10"/>
    <sheet name="Top Six Ship City " sheetId="31" r:id="rId11"/>
    <sheet name="Top Five City By Revenue" sheetId="33" r:id="rId12"/>
    <sheet name="Performance By State" sheetId="34" r:id="rId13"/>
    <sheet name="Sales By Product Category" sheetId="38" r:id="rId14"/>
    <sheet name="Data (2)" sheetId="17" r:id="rId15"/>
    <sheet name="Pivot Table Diagram" sheetId="4" r:id="rId16"/>
    <sheet name="Analysis Board" sheetId="36" r:id="rId17"/>
    <sheet name="Dashboard" sheetId="37" state="hidden" r:id="rId18"/>
    <sheet name="Visualization" sheetId="41" r:id="rId19"/>
    <sheet name="Post Analysis Observation" sheetId="39" r:id="rId20"/>
    <sheet name="Post Analysis Recommendation" sheetId="40" r:id="rId21"/>
  </sheets>
  <definedNames>
    <definedName name="_xlnm._FilterDatabase" localSheetId="14" hidden="1">'Data (2)'!$A$1:$Z$370</definedName>
    <definedName name="_xlchart.v5.0" hidden="1">'Performance By State'!$D$4</definedName>
    <definedName name="_xlchart.v5.1" hidden="1">'Performance By State'!$D$5:$D$16</definedName>
    <definedName name="_xlchart.v5.10" hidden="1">'Performance By State'!$E$4</definedName>
    <definedName name="_xlchart.v5.11" hidden="1">'Performance By State'!$E$5:$E$16</definedName>
    <definedName name="_xlchart.v5.2" hidden="1">'Performance By State'!$E$4</definedName>
    <definedName name="_xlchart.v5.3" hidden="1">'Performance By State'!$E$5:$E$16</definedName>
    <definedName name="_xlchart.v5.4" hidden="1">'Performance By State'!$D$4</definedName>
    <definedName name="_xlchart.v5.5" hidden="1">'Performance By State'!$D$5:$D$16</definedName>
    <definedName name="_xlchart.v5.6" hidden="1">'Performance By State'!$E$4</definedName>
    <definedName name="_xlchart.v5.7" hidden="1">'Performance By State'!$E$5:$E$16</definedName>
    <definedName name="_xlchart.v5.8" hidden="1">'Performance By State'!$D$4</definedName>
    <definedName name="_xlchart.v5.9" hidden="1">'Performance By State'!$D$5:$D$16</definedName>
    <definedName name="Slicer_Payment_Type">#N/A</definedName>
    <definedName name="Slicer_Product_Name">#N/A</definedName>
    <definedName name="Slicer_Region">#N/A</definedName>
    <definedName name="Slicer_Region1">#N/A</definedName>
    <definedName name="Slicer_Salesperson">#N/A</definedName>
  </definedNames>
  <calcPr calcId="191029" iterate="1"/>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<sst xmlns="http://schemas.openxmlformats.org/spreadsheetml/2006/main" count="5905" uniqueCount="191">
  <si>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</si>
  <si>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</si>
  <si>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</si>
  <si>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</si>
  <si>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</si>
  <si>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</si>
  <si>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</si>
  <si>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</si>
  <si>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</si>
  <si>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</si>
  <si>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</si>
  <si>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</si>
  <si>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</si>
  <si>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</si>
  <si>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</si>
  <si>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</si>
  <si>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</si>
  <si>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</si>
  <si>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</si>
  <si>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</si>
  <si>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</si>
  <si>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</si>
  <si>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</si>
  <si>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</si>
  <si>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</si>
  <si>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</si>
  <si>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</si>
  <si>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</si>
  <si>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</si>
  <si>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</si>
  <si>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</si>
  <si>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</si>
  <si>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</si>
  <si>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</si>
  <si>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</si>
  <si>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</si>
  <si>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</si>
  <si>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</si>
  <si>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</si>
  <si>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</si>
  <si>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</si>
  <si>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</si>
  <si>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</si>
  <si>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</si>
  <si>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</si>
  <si>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</si>
  <si>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</si>
  <si>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</si>
  <si>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</si>
  <si>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</si>
  <si>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</si>
  <si>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</si>
  <si>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</si>
  <si>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</si>
  <si>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</si>
  <si>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</si>
  <si>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</si>
  <si>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</si>
  <si>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</si>
  <si>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</si>
  <si>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</si>
  <si>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</si>
  <si>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</si>
  <si>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</si>
  <si>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</si>
  <si>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</si>
  <si>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</si>
  <si>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</si>
  <si>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</si>
  <si>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</si>
  <si>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</si>
  <si>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</si>
  <si>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</si>
  <si>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</si>
  <si>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</si>
  <si>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</si>
  <si>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</si>
  <si>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</si>
  <si>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</si>
  <si>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</si>
  <si>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</si>
  <si>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</si>
  <si>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</si>
  <si>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</si>
  <si>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</si>
  <si>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</si>
  <si>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</si>
  <si>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</si>
  <si>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</si>
  <si>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</si>
  <si>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</si>
  <si>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</si>
  <si>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</si>
  <si>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</si>
  <si>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</si>
  <si>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</si>
  <si>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</si>
  <si>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</si>
  <si>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</si>
  <si>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</si>
  <si>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</si>
  <si>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</si>
  <si>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</si>
  <si>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</si>
  <si>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</si>
  <si>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</si>
  <si>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</si>
  <si>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</si>
  <si>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</si>
  <si>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</si>
  <si>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</si>
  <si>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</si>
  <si>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</si>
  <si>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</si>
  <si>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</si>
  <si>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</si>
  <si>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</si>
  <si>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</si>
  <si>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</si>
  <si>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</si>
  <si>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</si>
  <si>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</si>
  <si>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</si>
  <si>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</si>
  <si>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</si>
  <si>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</si>
  <si>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</si>
  <si>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</si>
  <si>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</si>
  <si>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</si>
  <si>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</si>
  <si>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</si>
  <si>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</si>
  <si>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</si>
  <si>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</si>
  <si>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</si>
  <si>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</si>
  <si>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</si>
  <si>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</si>
  <si>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</si>
  <si>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</si>
  <si>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</si>
  <si>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</si>
  <si>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</si>
  <si>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</si>
  <si>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</si>
  <si>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</si>
  <si>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</si>
  <si>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</si>
  <si>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</si>
  <si>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</si>
  <si>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</si>
  <si>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</si>
  <si>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</si>
  <si>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</si>
  <si>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</si>
  <si>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</si>
  <si>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</si>
  <si>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</si>
  <si>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</si>
  <si>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</si>
  <si>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</si>
  <si>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</si>
  <si>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</si>
  <si>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</si>
  <si>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</si>
  <si>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</si>
  <si>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Row Labels</t>
  </si>
  <si>
    <t>Grand Total</t>
  </si>
  <si>
    <t>Sum of Revenue</t>
  </si>
  <si>
    <t>Count of Revenue</t>
  </si>
  <si>
    <t>10-1010</t>
  </si>
  <si>
    <t>1010-2010</t>
  </si>
  <si>
    <t>2010-3010</t>
  </si>
  <si>
    <t>Revenue Generated</t>
  </si>
  <si>
    <t>Jan</t>
  </si>
  <si>
    <t>Feb</t>
  </si>
  <si>
    <t>Mar</t>
  </si>
  <si>
    <t>May</t>
  </si>
  <si>
    <t>Jun</t>
  </si>
  <si>
    <t>Jul</t>
  </si>
  <si>
    <t>Aug</t>
  </si>
  <si>
    <t>Sep</t>
  </si>
  <si>
    <t>Oct</t>
  </si>
  <si>
    <t>Nov</t>
  </si>
  <si>
    <t>Dec</t>
  </si>
  <si>
    <t>3010-4010</t>
  </si>
  <si>
    <t>Apr</t>
  </si>
  <si>
    <t>4010-5010</t>
  </si>
  <si>
    <t>6010-7010</t>
  </si>
  <si>
    <t>7010-8010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</si>
</sst>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mm/dd/yy;@"/>
    <numFmt numFmtId="165" formatCode="&quot;$&quot;#,##0.00"/>
    <numFmt numFmtId="166" formatCode="&quot;$&quot;#,##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4">
    <xf numFmtId="0" fontId="0" fillId="0" borderId="0"/>
    <xf numFmtId="44"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cellStyleXfs>
  <cellXfs count="22">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66" fontId="0" fillId="0" borderId="0" xfId="0" applyNumberFormat="1"/>
    <xf numFmtId="165" fontId="0" fillId="0" borderId="0" xfId="0" applyNumberFormat="1" applyAlignment="1">
      <alignment horizontal="left"/>
    </xf>
    <xf numFmtId="44" fontId="0" fillId="0" borderId="0" xfId="0" applyNumberFormat="1"/>
    <xf numFmtId="0" fontId="2" fillId="5" borderId="2" xfId="0" applyFont="1" applyFill="1" applyBorder="1"/>
    <xf numFmtId="0" fontId="2" fillId="0" borderId="2" xfId="0" applyFont="1" applyBorder="1"/>
    <xf numFmtId="0" fontId="0" fillId="6" borderId="0" xfId="0" applyFill="1"/>
    <xf numFmtId="0" fontId="0" fillId="7" borderId="0" xfId="0" applyFill="1"/>
    <xf numFmtId="9" fontId="0" fillId="0" borderId="0" xfId="3" applyFont="1"/>
    <xf numFmtId="9" fontId="0" fillId="0" borderId="0" xfId="0" applyNumberFormat="1"/>
    <xf numFmtId="0" fontId="0" fillId="2" borderId="0" xfId="0" applyFill="1"/>
  </cellXfs>
  <cellStyles count="4">
    <cellStyle name="Currency" xfId="1" builtinId="4"/>
    <cellStyle name="Hyperlink" xfId="2" builtinId="8"/>
    <cellStyle name="Normal" xfId="0" builtinId="0"/>
    <cellStyle name="Percent" xfId="3" builtinId="5"/>
  </cellStyles>
  <dxfs count="22">
    <dxf>
      <numFmt numFmtId="34" formatCode="_(&quot;$&quot;* #,##0.00_);_(&quot;$&quot;* \(#,##0.00\);_(&quot;$&quot;* &quot;-&quot;??_);_(@_)"/>
    </dxf>
    <dxf>
      <numFmt numFmtId="34" formatCode="_(&quot;$&quot;* #,##0.00_);_(&quot;$&quot;* \(#,##0.00\);_(&quot;$&quot;* &quot;-&quot;??_);_(@_)"/>
    </dxf>
    <dxf>
      <numFmt numFmtId="34" formatCode="_(&quot;$&quot;* #,##0.00_);_(&quot;$&quot;* \(#,##0.00\);_(&quot;$&quot;* &quot;-&quot;??_);_(@_)"/>
    </dxf>
    <dxf>
      <numFmt numFmtId="2" formatCode="0.00"/>
    </dxf>
    <dxf>
      <numFmt numFmtId="2" formatCode="0.00"/>
    </dxf>
    <dxf>
      <numFmt numFmtId="34" formatCode="_(&quot;$&quot;* #,##0.00_);_(&quot;$&quot;* \(#,##0.00\);_(&quot;$&quot;* &quot;-&quot;??_);_(@_)"/>
    </dxf>
    <dxf>
      <numFmt numFmtId="34" formatCode="_(&quot;$&quot;* #,##0.00_);_(&quot;$&quot;* \(#,##0.00\);_(&quot;$&quot;* &quot;-&quot;??_);_(@_)"/>
    </dxf>
    <dxf>
      <numFmt numFmtId="166" formatCode="&quot;$&quot;#,##0"/>
    </dxf>
    <dxf>
      <numFmt numFmtId="166" formatCode="&quot;$&quot;#,##0"/>
    </dxf>
    <dxf>
      <numFmt numFmtId="13" formatCode="0%"/>
    </dxf>
    <dxf>
      <numFmt numFmtId="13" formatCode="0%"/>
    </dxf>
    <dxf>
      <numFmt numFmtId="166" formatCode="&quot;$&quot;#,##0"/>
    </dxf>
    <dxf>
      <font>
        <b/>
        <color theme="1"/>
      </font>
      <border>
        <bottom style="thin">
          <color theme="8"/>
        </bottom>
        <vertical/>
        <horizontal/>
      </border>
    </dxf>
    <dxf>
      <font>
        <sz val="10"/>
        <color theme="1"/>
      </font>
      <border diagonalUp="0" diagonalDown="0">
        <left/>
        <right/>
        <top/>
        <bottom/>
        <vertical/>
        <horizontal/>
      </border>
    </dxf>
    <dxf>
      <font>
        <b/>
        <color theme="1"/>
      </font>
      <border>
        <bottom style="thin">
          <color theme="8"/>
        </bottom>
        <vertical/>
        <horizontal/>
      </border>
    </dxf>
    <dxf>
      <font>
        <sz val="10"/>
        <color theme="1"/>
      </font>
      <border diagonalUp="0" diagonalDown="0">
        <left/>
        <right/>
        <top/>
        <bottom/>
        <vertical/>
        <horizontal/>
      </border>
    </dxf>
    <dxf>
      <font>
        <b/>
        <color theme="1"/>
      </font>
      <border>
        <bottom style="thin">
          <color theme="8"/>
        </bottom>
        <vertical/>
        <horizontal/>
      </border>
    </dxf>
    <dxf>
      <font>
        <sz val="10"/>
        <color theme="1"/>
      </font>
      <border diagonalUp="0" diagonalDown="0">
        <left/>
        <right/>
        <top/>
        <bottom/>
        <vertical/>
        <horizontal/>
      </border>
    </dxf>
    <dxf>
      <font>
        <b/>
        <color theme="1"/>
      </font>
      <border>
        <bottom style="thin">
          <color theme="8"/>
        </bottom>
        <vertical/>
        <horizontal/>
      </border>
    </dxf>
    <dxf>
      <font>
        <sz val="10"/>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11"/>
        <color theme="1"/>
      </font>
      <border>
        <left style="thin">
          <color theme="8"/>
        </left>
        <right style="thin">
          <color theme="8"/>
        </right>
        <top style="thin">
          <color theme="8"/>
        </top>
        <bottom style="thin">
          <color theme="8"/>
        </bottom>
        <vertical/>
        <horizontal/>
      </border>
    </dxf>
  </dxfs>
  <tableStyles count="5" defaultTableStyle="TableStyleMedium2" defaultPivotStyle="PivotStyleLight16">
    <tableStyle name="SlicerStyleDark5 2" pivot="0" table="0" count="10" xr9:uid="{69F916AD-79BC-4AFB-9982-F7F1D136E4C8}">
      <tableStyleElement type="wholeTable" dxfId="21"/>
      <tableStyleElement type="headerRow" dxfId="20"/>
    </tableStyle>
    <tableStyle name="SlicerStyleDark5 3" pivot="0" table="0" count="10" xr9:uid="{B8AE2DC6-E977-40C2-A21F-284FE888D570}">
      <tableStyleElement type="wholeTable" dxfId="19"/>
      <tableStyleElement type="headerRow" dxfId="18"/>
    </tableStyle>
    <tableStyle name="SlicerStyleDark5 3 2" pivot="0" table="0" count="10" xr9:uid="{655F9C2C-2157-4F89-8085-A589623DB744}">
      <tableStyleElement type="wholeTable" dxfId="17"/>
      <tableStyleElement type="headerRow" dxfId="16"/>
    </tableStyle>
    <tableStyle name="SlicerStyleDark5 4" pivot="0" table="0" count="10" xr9:uid="{B0CFB7FD-EB8E-4744-9C7F-99EFF15F5015}">
      <tableStyleElement type="wholeTable" dxfId="15"/>
      <tableStyleElement type="headerRow" dxfId="14"/>
    </tableStyle>
    <tableStyle name="SlicerStyleDark5 5" pivot="0" table="0" count="10" xr9:uid="{82D45754-A200-415D-AE8F-5A141CB203C1}">
      <tableStyleElement type="wholeTable" dxfId="13"/>
      <tableStyleElement type="headerRow" dxfId="12"/>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3">
        <x14:slicerStyle name="SlicerStyleDark5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microsoft.com/office/2017/10/relationships/person" Target="persons/pers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17/10/relationships/person" Target="persons/person0.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5.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19.xml"/><Relationship Id="rId1" Type="http://schemas.microsoft.com/office/2011/relationships/chartStyle" Target="style19.xml"/></Relationships>
</file>

<file path=xl/charts/_rels/chartEx3.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file.xlsx]Product By Sale 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solidFill>
              <a:schemeClr val="accent5">
                <a:lumMod val="50000"/>
              </a:schemeClr>
            </a:solidFill>
          </a:ln>
          <a:effectLst/>
        </c:spPr>
      </c:pivotFmt>
      <c:pivotFmt>
        <c:idx val="3"/>
        <c:spPr>
          <a:solidFill>
            <a:schemeClr val="accent5">
              <a:lumMod val="20000"/>
              <a:lumOff val="80000"/>
            </a:schemeClr>
          </a:solidFill>
          <a:ln>
            <a:solidFill>
              <a:schemeClr val="accent5">
                <a:lumMod val="50000"/>
              </a:schemeClr>
            </a:solidFill>
          </a:ln>
          <a:effectLst/>
        </c:spPr>
      </c:pivotFmt>
      <c:pivotFmt>
        <c:idx val="4"/>
        <c:spPr>
          <a:solidFill>
            <a:schemeClr val="accent5">
              <a:lumMod val="40000"/>
              <a:lumOff val="60000"/>
            </a:schemeClr>
          </a:solidFill>
          <a:ln>
            <a:solidFill>
              <a:schemeClr val="accent5">
                <a:lumMod val="50000"/>
              </a:schemeClr>
            </a:solidFill>
          </a:ln>
          <a:effectLst/>
        </c:spPr>
      </c:pivotFmt>
      <c:pivotFmt>
        <c:idx val="5"/>
        <c:spPr>
          <a:solidFill>
            <a:schemeClr val="accent5">
              <a:lumMod val="75000"/>
            </a:schemeClr>
          </a:solidFill>
          <a:ln>
            <a:solidFill>
              <a:schemeClr val="accent5">
                <a:lumMod val="50000"/>
              </a:schemeClr>
            </a:solidFill>
          </a:ln>
          <a:effectLst/>
        </c:spPr>
      </c:pivotFmt>
      <c:pivotFmt>
        <c:idx val="6"/>
        <c:spPr>
          <a:solidFill>
            <a:schemeClr val="accent5">
              <a:lumMod val="75000"/>
            </a:schemeClr>
          </a:solidFill>
          <a:ln>
            <a:solidFill>
              <a:schemeClr val="accent5">
                <a:lumMod val="50000"/>
              </a:schemeClr>
            </a:solidFill>
          </a:ln>
          <a:effectLst/>
        </c:spPr>
      </c:pivotFmt>
      <c:pivotFmt>
        <c:idx val="7"/>
        <c:spPr>
          <a:solidFill>
            <a:schemeClr val="accent5">
              <a:lumMod val="40000"/>
              <a:lumOff val="60000"/>
            </a:schemeClr>
          </a:solidFill>
          <a:ln>
            <a:solidFill>
              <a:schemeClr val="accent5">
                <a:lumMod val="50000"/>
              </a:schemeClr>
            </a:solidFill>
          </a:ln>
          <a:effectLst/>
        </c:spPr>
      </c:pivotFmt>
    </c:pivotFmts>
    <c:plotArea>
      <c:layout/>
      <c:barChart>
        <c:barDir val="bar"/>
        <c:grouping val="clustered"/>
        <c:varyColors val="0"/>
        <c:ser>
          <c:idx val="0"/>
          <c:order val="0"/>
          <c:tx>
            <c:strRef>
              <c:f>'Product By Sale Category'!$B$3</c:f>
              <c:strCache>
                <c:ptCount val="1"/>
                <c:pt idx="0">
                  <c:v>Total</c:v>
                </c:pt>
              </c:strCache>
            </c:strRef>
          </c:tx>
          <c:spPr>
            <a:solidFill>
              <a:schemeClr val="accent1"/>
            </a:solidFill>
            <a:ln>
              <a:solidFill>
                <a:schemeClr val="accent5">
                  <a:lumMod val="50000"/>
                </a:schemeClr>
              </a:solidFill>
            </a:ln>
            <a:effectLst/>
          </c:spPr>
          <c:invertIfNegative val="0"/>
          <c:dPt>
            <c:idx val="0"/>
            <c:invertIfNegative val="0"/>
            <c:bubble3D val="0"/>
            <c:spPr>
              <a:solidFill>
                <a:schemeClr val="accent5">
                  <a:lumMod val="50000"/>
                </a:schemeClr>
              </a:solidFill>
              <a:ln>
                <a:solidFill>
                  <a:schemeClr val="accent5">
                    <a:lumMod val="50000"/>
                  </a:schemeClr>
                </a:solidFill>
              </a:ln>
              <a:effectLst/>
            </c:spPr>
            <c:extLst>
              <c:ext xmlns:c16="http://schemas.microsoft.com/office/drawing/2014/chart" uri="{C3380CC4-5D6E-409C-BE32-E72D297353CC}">
                <c16:uniqueId val="{00000001-1D9F-406B-AC74-D4ED433497A3}"/>
              </c:ext>
            </c:extLst>
          </c:dPt>
          <c:dPt>
            <c:idx val="1"/>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2-1D9F-406B-AC74-D4ED433497A3}"/>
              </c:ext>
            </c:extLst>
          </c:dPt>
          <c:dPt>
            <c:idx val="2"/>
            <c:invertIfNegative val="0"/>
            <c:bubble3D val="0"/>
            <c:spPr>
              <a:solidFill>
                <a:schemeClr val="accent5">
                  <a:lumMod val="75000"/>
                </a:schemeClr>
              </a:solidFill>
              <a:ln>
                <a:solidFill>
                  <a:schemeClr val="accent5">
                    <a:lumMod val="50000"/>
                  </a:schemeClr>
                </a:solidFill>
              </a:ln>
              <a:effectLst/>
            </c:spPr>
            <c:extLst>
              <c:ext xmlns:c16="http://schemas.microsoft.com/office/drawing/2014/chart" uri="{C3380CC4-5D6E-409C-BE32-E72D297353CC}">
                <c16:uniqueId val="{00000003-1D9F-406B-AC74-D4ED433497A3}"/>
              </c:ext>
            </c:extLst>
          </c:dPt>
          <c:dPt>
            <c:idx val="3"/>
            <c:invertIfNegative val="0"/>
            <c:bubble3D val="0"/>
            <c:extLst>
              <c:ext xmlns:c16="http://schemas.microsoft.com/office/drawing/2014/chart" uri="{C3380CC4-5D6E-409C-BE32-E72D297353CC}">
                <c16:uniqueId val="{00000007-48D0-4AEE-B163-7CF0C44F3171}"/>
              </c:ext>
            </c:extLst>
          </c:dPt>
          <c:dPt>
            <c:idx val="4"/>
            <c:invertIfNegative val="0"/>
            <c:bubble3D val="0"/>
            <c:extLst>
              <c:ext xmlns:c16="http://schemas.microsoft.com/office/drawing/2014/chart" uri="{C3380CC4-5D6E-409C-BE32-E72D297353CC}">
                <c16:uniqueId val="{00000004-1D9F-406B-AC74-D4ED433497A3}"/>
              </c:ext>
            </c:extLst>
          </c:dPt>
          <c:dPt>
            <c:idx val="5"/>
            <c:invertIfNegative val="0"/>
            <c:bubble3D val="0"/>
            <c:extLst>
              <c:ext xmlns:c16="http://schemas.microsoft.com/office/drawing/2014/chart" uri="{C3380CC4-5D6E-409C-BE32-E72D297353CC}">
                <c16:uniqueId val="{0000000B-48D0-4AEE-B163-7CF0C44F31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By Sale Category'!$A$4:$A$7</c:f>
              <c:strCache>
                <c:ptCount val="3"/>
                <c:pt idx="0">
                  <c:v>Beverages</c:v>
                </c:pt>
                <c:pt idx="1">
                  <c:v>Sauces</c:v>
                </c:pt>
                <c:pt idx="2">
                  <c:v>Jams, Preserves</c:v>
                </c:pt>
              </c:strCache>
            </c:strRef>
          </c:cat>
          <c:val>
            <c:numRef>
              <c:f>'Product By Sale Category'!$B$4:$B$7</c:f>
              <c:numCache>
                <c:formatCode>General</c:formatCode>
                <c:ptCount val="3"/>
                <c:pt idx="0">
                  <c:v>110577.10999999999</c:v>
                </c:pt>
                <c:pt idx="1">
                  <c:v>69000</c:v>
                </c:pt>
                <c:pt idx="2">
                  <c:v>51541</c:v>
                </c:pt>
              </c:numCache>
            </c:numRef>
          </c:val>
          <c:extLst>
            <c:ext xmlns:c16="http://schemas.microsoft.com/office/drawing/2014/chart" uri="{C3380CC4-5D6E-409C-BE32-E72D297353CC}">
              <c16:uniqueId val="{00000000-1D9F-406B-AC74-D4ED433497A3}"/>
            </c:ext>
          </c:extLst>
        </c:ser>
        <c:dLbls>
          <c:showLegendKey val="0"/>
          <c:showVal val="0"/>
          <c:showCatName val="0"/>
          <c:showSerName val="0"/>
          <c:showPercent val="0"/>
          <c:showBubbleSize val="0"/>
        </c:dLbls>
        <c:gapWidth val="30"/>
        <c:axId val="1785734783"/>
        <c:axId val="1785731423"/>
      </c:barChart>
      <c:catAx>
        <c:axId val="1785734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731423"/>
        <c:crosses val="autoZero"/>
        <c:auto val="1"/>
        <c:lblAlgn val="ctr"/>
        <c:lblOffset val="100"/>
        <c:noMultiLvlLbl val="0"/>
      </c:catAx>
      <c:valAx>
        <c:axId val="1785731423"/>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78573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file.xlsx]Product By Sale Category!PivotTable1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'Product By Sale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2A-4B53-98D5-DE73F5BCCC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2A-4B53-98D5-DE73F5BCCC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2A-4B53-98D5-DE73F5BCCC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By Sale Category'!$A$4:$A$7</c:f>
              <c:strCache>
                <c:ptCount val="3"/>
                <c:pt idx="0">
                  <c:v>Beverages</c:v>
                </c:pt>
                <c:pt idx="1">
                  <c:v>Sauces</c:v>
                </c:pt>
                <c:pt idx="2">
                  <c:v>Jams, Preserves</c:v>
                </c:pt>
              </c:strCache>
            </c:strRef>
          </c:cat>
          <c:val>
            <c:numRef>
              <c:f>'Product By Sale Category'!$B$4:$B$7</c:f>
              <c:numCache>
                <c:formatCode>General</c:formatCode>
                <c:ptCount val="3"/>
                <c:pt idx="0">
                  <c:v>110577.10999999999</c:v>
                </c:pt>
                <c:pt idx="1">
                  <c:v>69000</c:v>
                </c:pt>
                <c:pt idx="2">
                  <c:v>51541</c:v>
                </c:pt>
              </c:numCache>
            </c:numRef>
          </c:val>
          <c:extLst>
            <c:ext xmlns:c16="http://schemas.microsoft.com/office/drawing/2014/chart" uri="{C3380CC4-5D6E-409C-BE32-E72D297353CC}">
              <c16:uniqueId val="{00000000-A488-473B-9DC6-366A160FBA7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file.xlsx]Top ten customers!PivotTable1</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'Top ten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3C-410E-B47E-E21192A1F4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3C-410E-B47E-E21192A1F4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3C-410E-B47E-E21192A1F4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ten customers'!$A$4:$A$7</c:f>
              <c:strCache>
                <c:ptCount val="3"/>
                <c:pt idx="0">
                  <c:v>Company J</c:v>
                </c:pt>
                <c:pt idx="1">
                  <c:v>Company H</c:v>
                </c:pt>
                <c:pt idx="2">
                  <c:v>Company F</c:v>
                </c:pt>
              </c:strCache>
            </c:strRef>
          </c:cat>
          <c:val>
            <c:numRef>
              <c:f>'Top ten customers'!$B$4:$B$7</c:f>
              <c:numCache>
                <c:formatCode>0%</c:formatCode>
                <c:ptCount val="3"/>
                <c:pt idx="0">
                  <c:v>45</c:v>
                </c:pt>
                <c:pt idx="1">
                  <c:v>41</c:v>
                </c:pt>
                <c:pt idx="2">
                  <c:v>36</c:v>
                </c:pt>
              </c:numCache>
            </c:numRef>
          </c:val>
          <c:extLst>
            <c:ext xmlns:c16="http://schemas.microsoft.com/office/drawing/2014/chart" uri="{C3380CC4-5D6E-409C-BE32-E72D297353CC}">
              <c16:uniqueId val="{00000000-71D8-4CD7-BA58-B07F56495AD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file.xlsx]Sales Performance!PivotTable2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latin typeface="Garamond" panose="02020404030301010803" pitchFamily="18" charset="0"/>
              </a:rPr>
              <a:t>Sales</a:t>
            </a:r>
            <a:r>
              <a:rPr lang="en-US" b="0" baseline="0">
                <a:latin typeface="Garamond" panose="02020404030301010803" pitchFamily="18" charset="0"/>
              </a:rPr>
              <a:t> Performance analysis by Reps</a:t>
            </a:r>
            <a:endParaRPr lang="en-US" b="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radarChart>
        <c:radarStyle val="marker"/>
        <c:varyColors val="0"/>
        <c:ser>
          <c:idx val="0"/>
          <c:order val="0"/>
          <c:tx>
            <c:strRef>
              <c:f>'Sales Performance'!$B$3</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3-3521-40DF-B8BD-CADA84E7F471}"/>
              </c:ext>
            </c:extLst>
          </c:dPt>
          <c:dPt>
            <c:idx val="1"/>
            <c:marker>
              <c:symbol val="none"/>
            </c:marker>
            <c:bubble3D val="0"/>
            <c:extLst>
              <c:ext xmlns:c16="http://schemas.microsoft.com/office/drawing/2014/chart" uri="{C3380CC4-5D6E-409C-BE32-E72D297353CC}">
                <c16:uniqueId val="{00000002-3521-40DF-B8BD-CADA84E7F471}"/>
              </c:ext>
            </c:extLst>
          </c:dPt>
          <c:dPt>
            <c:idx val="2"/>
            <c:marker>
              <c:symbol val="none"/>
            </c:marker>
            <c:bubble3D val="0"/>
            <c:extLst>
              <c:ext xmlns:c16="http://schemas.microsoft.com/office/drawing/2014/chart" uri="{C3380CC4-5D6E-409C-BE32-E72D297353CC}">
                <c16:uniqueId val="{00000004-3521-40DF-B8BD-CADA84E7F471}"/>
              </c:ext>
            </c:extLst>
          </c:dPt>
          <c:dPt>
            <c:idx val="3"/>
            <c:marker>
              <c:symbol val="none"/>
            </c:marker>
            <c:bubble3D val="0"/>
            <c:extLst>
              <c:ext xmlns:c16="http://schemas.microsoft.com/office/drawing/2014/chart" uri="{C3380CC4-5D6E-409C-BE32-E72D297353CC}">
                <c16:uniqueId val="{00000005-3521-40DF-B8BD-CADA84E7F471}"/>
              </c:ext>
            </c:extLst>
          </c:dPt>
          <c:dPt>
            <c:idx val="4"/>
            <c:marker>
              <c:symbol val="none"/>
            </c:marker>
            <c:bubble3D val="0"/>
            <c:extLst>
              <c:ext xmlns:c16="http://schemas.microsoft.com/office/drawing/2014/chart" uri="{C3380CC4-5D6E-409C-BE32-E72D297353CC}">
                <c16:uniqueId val="{00000006-3521-40DF-B8BD-CADA84E7F471}"/>
              </c:ext>
            </c:extLst>
          </c:dPt>
          <c:dPt>
            <c:idx val="5"/>
            <c:marker>
              <c:symbol val="none"/>
            </c:marker>
            <c:bubble3D val="0"/>
            <c:extLst>
              <c:ext xmlns:c16="http://schemas.microsoft.com/office/drawing/2014/chart" uri="{C3380CC4-5D6E-409C-BE32-E72D297353CC}">
                <c16:uniqueId val="{00000007-3521-40DF-B8BD-CADA84E7F471}"/>
              </c:ext>
            </c:extLst>
          </c:dPt>
          <c:dPt>
            <c:idx val="6"/>
            <c:marker>
              <c:symbol val="none"/>
            </c:marker>
            <c:bubble3D val="0"/>
            <c:extLst>
              <c:ext xmlns:c16="http://schemas.microsoft.com/office/drawing/2014/chart" uri="{C3380CC4-5D6E-409C-BE32-E72D297353CC}">
                <c16:uniqueId val="{00000008-3521-40DF-B8BD-CADA84E7F471}"/>
              </c:ext>
            </c:extLst>
          </c:dPt>
          <c:dPt>
            <c:idx val="7"/>
            <c:marker>
              <c:symbol val="none"/>
            </c:marker>
            <c:bubble3D val="0"/>
            <c:extLst>
              <c:ext xmlns:c16="http://schemas.microsoft.com/office/drawing/2014/chart" uri="{C3380CC4-5D6E-409C-BE32-E72D297353CC}">
                <c16:uniqueId val="{00000009-3521-40DF-B8BD-CADA84E7F4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Performance'!$A$4:$A$7</c:f>
              <c:strCache>
                <c:ptCount val="3"/>
                <c:pt idx="0">
                  <c:v>Nancy Freehafer</c:v>
                </c:pt>
                <c:pt idx="1">
                  <c:v>Anne Larsen</c:v>
                </c:pt>
                <c:pt idx="2">
                  <c:v>Andrew Cencini</c:v>
                </c:pt>
              </c:strCache>
            </c:strRef>
          </c:cat>
          <c:val>
            <c:numRef>
              <c:f>'Sales Performance'!$B$4:$B$7</c:f>
              <c:numCache>
                <c:formatCode>"$"#,##0</c:formatCode>
                <c:ptCount val="3"/>
                <c:pt idx="0">
                  <c:v>104252.33999999997</c:v>
                </c:pt>
                <c:pt idx="1">
                  <c:v>93858.329999999987</c:v>
                </c:pt>
                <c:pt idx="2">
                  <c:v>67180.5</c:v>
                </c:pt>
              </c:numCache>
            </c:numRef>
          </c:val>
          <c:extLst>
            <c:ext xmlns:c16="http://schemas.microsoft.com/office/drawing/2014/chart" uri="{C3380CC4-5D6E-409C-BE32-E72D297353CC}">
              <c16:uniqueId val="{00000000-3521-40DF-B8BD-CADA84E7F471}"/>
            </c:ext>
          </c:extLst>
        </c:ser>
        <c:dLbls>
          <c:showLegendKey val="0"/>
          <c:showVal val="0"/>
          <c:showCatName val="0"/>
          <c:showSerName val="0"/>
          <c:showPercent val="0"/>
          <c:showBubbleSize val="0"/>
        </c:dLbls>
        <c:axId val="390637951"/>
        <c:axId val="390630271"/>
      </c:radarChart>
      <c:catAx>
        <c:axId val="390637951"/>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630271"/>
        <c:crosses val="autoZero"/>
        <c:auto val="1"/>
        <c:lblAlgn val="ctr"/>
        <c:lblOffset val="100"/>
        <c:noMultiLvlLbl val="0"/>
      </c:catAx>
      <c:valAx>
        <c:axId val="39063027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9063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file.xlsx]Sales Performance!PivotTable2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'Sales 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13-4CCA-91F4-AB824044A5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13-4CCA-91F4-AB824044A5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913-4CCA-91F4-AB824044A5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Performance'!$A$4:$A$7</c:f>
              <c:strCache>
                <c:ptCount val="3"/>
                <c:pt idx="0">
                  <c:v>Nancy Freehafer</c:v>
                </c:pt>
                <c:pt idx="1">
                  <c:v>Anne Larsen</c:v>
                </c:pt>
                <c:pt idx="2">
                  <c:v>Andrew Cencini</c:v>
                </c:pt>
              </c:strCache>
            </c:strRef>
          </c:cat>
          <c:val>
            <c:numRef>
              <c:f>'Sales Performance'!$B$4:$B$7</c:f>
              <c:numCache>
                <c:formatCode>"$"#,##0</c:formatCode>
                <c:ptCount val="3"/>
                <c:pt idx="0">
                  <c:v>104252.33999999997</c:v>
                </c:pt>
                <c:pt idx="1">
                  <c:v>93858.329999999987</c:v>
                </c:pt>
                <c:pt idx="2">
                  <c:v>67180.5</c:v>
                </c:pt>
              </c:numCache>
            </c:numRef>
          </c:val>
          <c:extLst>
            <c:ext xmlns:c16="http://schemas.microsoft.com/office/drawing/2014/chart" uri="{C3380CC4-5D6E-409C-BE32-E72D297353CC}">
              <c16:uniqueId val="{00000000-444D-4CC0-81D1-17BC911E4C2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file.xlsx]Regional Performance!PivotTable3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Performers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radarChart>
        <c:radarStyle val="marker"/>
        <c:varyColors val="0"/>
        <c:ser>
          <c:idx val="0"/>
          <c:order val="0"/>
          <c:tx>
            <c:strRef>
              <c:f>'Regional Performance'!$B$3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2-CA3C-439B-9C96-B008A2040094}"/>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CA3C-439B-9C96-B008A2040094}"/>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CA3C-439B-9C96-B008A2040094}"/>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5-CA3C-439B-9C96-B008A20400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Performance'!$A$4:$A$8</c:f>
              <c:strCache>
                <c:ptCount val="4"/>
                <c:pt idx="0">
                  <c:v>North</c:v>
                </c:pt>
                <c:pt idx="1">
                  <c:v>East</c:v>
                </c:pt>
                <c:pt idx="2">
                  <c:v>South</c:v>
                </c:pt>
                <c:pt idx="3">
                  <c:v>West</c:v>
                </c:pt>
              </c:strCache>
            </c:strRef>
          </c:cat>
          <c:val>
            <c:numRef>
              <c:f>'Regional Performance'!$B$4:$B$8</c:f>
              <c:numCache>
                <c:formatCode>"$"#,##0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0-CA3C-439B-9C96-B008A2040094}"/>
            </c:ext>
          </c:extLst>
        </c:ser>
        <c:dLbls>
          <c:showLegendKey val="0"/>
          <c:showVal val="0"/>
          <c:showCatName val="0"/>
          <c:showSerName val="0"/>
          <c:showPercent val="0"/>
          <c:showBubbleSize val="0"/>
        </c:dLbls>
        <c:axId val="1249199887"/>
        <c:axId val="1249198447"/>
      </c:radarChart>
      <c:catAx>
        <c:axId val="1249199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98447"/>
        <c:crosses val="autoZero"/>
        <c:auto val="1"/>
        <c:lblAlgn val="ctr"/>
        <c:lblOffset val="100"/>
        <c:noMultiLvlLbl val="0"/>
      </c:catAx>
      <c:valAx>
        <c:axId val="1249198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9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file.xlsx]Sales Trend Report!PivotTable1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Report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Report'!$B$2</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Report'!$B$3:$B$15</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D4D5-48AD-B013-D8929C84C85B}"/>
            </c:ext>
          </c:extLst>
        </c:ser>
        <c:dLbls>
          <c:dLblPos val="t"/>
          <c:showLegendKey val="0"/>
          <c:showVal val="1"/>
          <c:showCatName val="0"/>
          <c:showSerName val="0"/>
          <c:showPercent val="0"/>
          <c:showBubbleSize val="0"/>
        </c:dLbls>
        <c:smooth val="0"/>
        <c:axId val="1985149871"/>
        <c:axId val="1985137871"/>
      </c:lineChart>
      <c:catAx>
        <c:axId val="198514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137871"/>
        <c:crosses val="autoZero"/>
        <c:auto val="1"/>
        <c:lblAlgn val="ctr"/>
        <c:lblOffset val="100"/>
        <c:noMultiLvlLbl val="0"/>
      </c:catAx>
      <c:valAx>
        <c:axId val="1985137871"/>
        <c:scaling>
          <c:orientation val="minMax"/>
        </c:scaling>
        <c:delete val="1"/>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8514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file.xlsx]Transaction By Amount!PivotTable2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By Amount</a:t>
            </a:r>
          </a:p>
        </c:rich>
      </c:tx>
      <c:layout>
        <c:manualLayout>
          <c:xMode val="edge"/>
          <c:yMode val="edge"/>
          <c:x val="0.3475484865556530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B2C4-4C77-8E0D-A4B55A63949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B2C4-4C77-8E0D-A4B55A63949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B2C4-4C77-8E0D-A4B55A639496}"/>
              </c:ext>
            </c:extLst>
          </c:dPt>
          <c:dPt>
            <c:idx val="3"/>
            <c:invertIfNegative val="0"/>
            <c:bubble3D val="0"/>
            <c:extLst>
              <c:ext xmlns:c16="http://schemas.microsoft.com/office/drawing/2014/chart" uri="{C3380CC4-5D6E-409C-BE32-E72D297353CC}">
                <c16:uniqueId val="{00000005-B2C4-4C77-8E0D-A4B55A639496}"/>
              </c:ext>
            </c:extLst>
          </c:dPt>
          <c:dPt>
            <c:idx val="4"/>
            <c:invertIfNegative val="0"/>
            <c:bubble3D val="0"/>
            <c:extLst>
              <c:ext xmlns:c16="http://schemas.microsoft.com/office/drawing/2014/chart" uri="{C3380CC4-5D6E-409C-BE32-E72D297353CC}">
                <c16:uniqueId val="{00000006-B2C4-4C77-8E0D-A4B55A639496}"/>
              </c:ext>
            </c:extLst>
          </c:dPt>
          <c:dPt>
            <c:idx val="5"/>
            <c:invertIfNegative val="0"/>
            <c:bubble3D val="0"/>
            <c:extLst>
              <c:ext xmlns:c16="http://schemas.microsoft.com/office/drawing/2014/chart" uri="{C3380CC4-5D6E-409C-BE32-E72D297353CC}">
                <c16:uniqueId val="{00000007-B2C4-4C77-8E0D-A4B55A6394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10-1010</c:v>
                </c:pt>
                <c:pt idx="1">
                  <c:v>1010-2010</c:v>
                </c:pt>
                <c:pt idx="2">
                  <c:v>2010-3010</c:v>
                </c:pt>
                <c:pt idx="3">
                  <c:v>3010-4010</c:v>
                </c:pt>
                <c:pt idx="4">
                  <c:v>4010-5010</c:v>
                </c:pt>
                <c:pt idx="5">
                  <c:v>6010-7010</c:v>
                </c:pt>
                <c:pt idx="6">
                  <c:v>7010-8010</c:v>
                </c:pt>
              </c:strCache>
            </c:strRef>
          </c:cat>
          <c:val>
            <c:numRef>
              <c:f>'Transaction By Amount'!$B$4:$B$11</c:f>
              <c:numCache>
                <c:formatCode>General</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0-B2C4-4C77-8E0D-A4B55A639496}"/>
            </c:ext>
          </c:extLst>
        </c:ser>
        <c:dLbls>
          <c:dLblPos val="outEnd"/>
          <c:showLegendKey val="0"/>
          <c:showVal val="1"/>
          <c:showCatName val="0"/>
          <c:showSerName val="0"/>
          <c:showPercent val="0"/>
          <c:showBubbleSize val="0"/>
        </c:dLbls>
        <c:gapWidth val="30"/>
        <c:overlap val="-27"/>
        <c:axId val="1714456463"/>
        <c:axId val="1714465103"/>
      </c:barChart>
      <c:catAx>
        <c:axId val="171445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465103"/>
        <c:crosses val="autoZero"/>
        <c:auto val="1"/>
        <c:lblAlgn val="ctr"/>
        <c:lblOffset val="100"/>
        <c:noMultiLvlLbl val="0"/>
      </c:catAx>
      <c:valAx>
        <c:axId val="1714465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445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file.xlsx]Top Six Ship City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Six Ship City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5">
              <a:lumMod val="50000"/>
            </a:schemeClr>
          </a:solidFill>
          <a:ln>
            <a:noFill/>
          </a:ln>
          <a:effectLst/>
        </c:spPr>
      </c:pivotFmt>
      <c:pivotFmt>
        <c:idx val="8"/>
        <c:spPr>
          <a:solidFill>
            <a:schemeClr val="accent5">
              <a:lumMod val="40000"/>
              <a:lumOff val="60000"/>
            </a:schemeClr>
          </a:solidFill>
          <a:ln>
            <a:noFill/>
          </a:ln>
          <a:effectLst/>
        </c:spPr>
      </c:pivotFmt>
    </c:pivotFmts>
    <c:plotArea>
      <c:layout/>
      <c:barChart>
        <c:barDir val="bar"/>
        <c:grouping val="clustered"/>
        <c:varyColors val="0"/>
        <c:ser>
          <c:idx val="0"/>
          <c:order val="0"/>
          <c:tx>
            <c:strRef>
              <c:f>'Top Six Ship City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A9E9-45FE-B229-597BA730CD00}"/>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A9E9-45FE-B229-597BA730CD00}"/>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A9E9-45FE-B229-597BA730CD00}"/>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A9E9-45FE-B229-597BA730CD00}"/>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6-A9E9-45FE-B229-597BA730CD00}"/>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A9E9-45FE-B229-597BA730CD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Six Ship City '!$A$4:$A$10</c:f>
              <c:strCache>
                <c:ptCount val="6"/>
                <c:pt idx="0">
                  <c:v>New York</c:v>
                </c:pt>
                <c:pt idx="1">
                  <c:v>Portland</c:v>
                </c:pt>
                <c:pt idx="2">
                  <c:v>Miami</c:v>
                </c:pt>
                <c:pt idx="3">
                  <c:v>Memphis</c:v>
                </c:pt>
                <c:pt idx="4">
                  <c:v>Chicago</c:v>
                </c:pt>
                <c:pt idx="5">
                  <c:v>Milwaukee</c:v>
                </c:pt>
              </c:strCache>
            </c:strRef>
          </c:cat>
          <c:val>
            <c:numRef>
              <c:f>'Top Six Ship City '!$B$4:$B$10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0-A9E9-45FE-B229-597BA730CD00}"/>
            </c:ext>
          </c:extLst>
        </c:ser>
        <c:dLbls>
          <c:dLblPos val="outEnd"/>
          <c:showLegendKey val="0"/>
          <c:showVal val="1"/>
          <c:showCatName val="0"/>
          <c:showSerName val="0"/>
          <c:showPercent val="0"/>
          <c:showBubbleSize val="0"/>
        </c:dLbls>
        <c:gapWidth val="30"/>
        <c:axId val="1655038063"/>
        <c:axId val="1655036143"/>
      </c:barChart>
      <c:catAx>
        <c:axId val="1655038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36143"/>
        <c:crosses val="autoZero"/>
        <c:auto val="1"/>
        <c:lblAlgn val="ctr"/>
        <c:lblOffset val="100"/>
        <c:noMultiLvlLbl val="0"/>
      </c:catAx>
      <c:valAx>
        <c:axId val="1655036143"/>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6550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file.xlsx]Top Five City By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Five</a:t>
            </a:r>
            <a:r>
              <a:rPr lang="en-US" baseline="0"/>
              <a:t> City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5">
              <a:lumMod val="5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50000"/>
            </a:schemeClr>
          </a:solidFill>
          <a:ln>
            <a:noFill/>
          </a:ln>
          <a:effectLst/>
        </c:spPr>
      </c:pivotFmt>
      <c:pivotFmt>
        <c:idx val="9"/>
        <c:spPr>
          <a:solidFill>
            <a:schemeClr val="accent5">
              <a:lumMod val="20000"/>
              <a:lumOff val="80000"/>
            </a:schemeClr>
          </a:solidFill>
          <a:ln>
            <a:noFill/>
          </a:ln>
          <a:effectLst/>
        </c:spPr>
      </c:pivotFmt>
    </c:pivotFmts>
    <c:plotArea>
      <c:layout/>
      <c:barChart>
        <c:barDir val="bar"/>
        <c:grouping val="clustered"/>
        <c:varyColors val="0"/>
        <c:ser>
          <c:idx val="0"/>
          <c:order val="0"/>
          <c:tx>
            <c:strRef>
              <c:f>'Top Five City By Revenue'!$B$3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2-84ED-4A88-AEDB-6C00BE49194D}"/>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84ED-4A88-AEDB-6C00BE49194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84ED-4A88-AEDB-6C00BE49194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84ED-4A88-AEDB-6C00BE49194D}"/>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84ED-4A88-AEDB-6C00BE4919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Five City By Revenue'!$A$4:$A$9</c:f>
              <c:strCache>
                <c:ptCount val="5"/>
                <c:pt idx="0">
                  <c:v>New York</c:v>
                </c:pt>
                <c:pt idx="1">
                  <c:v>Portland</c:v>
                </c:pt>
                <c:pt idx="2">
                  <c:v>Miami</c:v>
                </c:pt>
                <c:pt idx="3">
                  <c:v>Memphis</c:v>
                </c:pt>
                <c:pt idx="4">
                  <c:v>Chicago</c:v>
                </c:pt>
              </c:strCache>
            </c:strRef>
          </c:cat>
          <c:val>
            <c:numRef>
              <c:f>'Top Five City By Revenue'!$B$4:$B$9</c:f>
              <c:numCache>
                <c:formatCode>_("$"* #,##0.00_);_("$"* \(#,##0.00\);_("$"* "-"??_);_(@_)</c:formatCode>
                <c:ptCount val="5"/>
                <c:pt idx="0">
                  <c:v>67180.5</c:v>
                </c:pt>
                <c:pt idx="1">
                  <c:v>50208.35</c:v>
                </c:pt>
                <c:pt idx="2">
                  <c:v>50145.330000000009</c:v>
                </c:pt>
                <c:pt idx="3">
                  <c:v>43713</c:v>
                </c:pt>
                <c:pt idx="4">
                  <c:v>41095.01</c:v>
                </c:pt>
              </c:numCache>
            </c:numRef>
          </c:val>
          <c:extLst>
            <c:ext xmlns:c16="http://schemas.microsoft.com/office/drawing/2014/chart" uri="{C3380CC4-5D6E-409C-BE32-E72D297353CC}">
              <c16:uniqueId val="{00000000-84ED-4A88-AEDB-6C00BE49194D}"/>
            </c:ext>
          </c:extLst>
        </c:ser>
        <c:dLbls>
          <c:dLblPos val="outEnd"/>
          <c:showLegendKey val="0"/>
          <c:showVal val="1"/>
          <c:showCatName val="0"/>
          <c:showSerName val="0"/>
          <c:showPercent val="0"/>
          <c:showBubbleSize val="0"/>
        </c:dLbls>
        <c:gapWidth val="30"/>
        <c:axId val="1791725759"/>
        <c:axId val="1791727199"/>
      </c:barChart>
      <c:catAx>
        <c:axId val="17917257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727199"/>
        <c:crosses val="autoZero"/>
        <c:auto val="1"/>
        <c:lblAlgn val="ctr"/>
        <c:lblOffset val="100"/>
        <c:noMultiLvlLbl val="0"/>
      </c:catAx>
      <c:valAx>
        <c:axId val="1791727199"/>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79172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file.xlsx]Sales By Product Category!PivotTable6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layout>
        <c:manualLayout>
          <c:xMode val="edge"/>
          <c:yMode val="edge"/>
          <c:x val="0.467158236412756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pivotFmt>
      <c:pivotFmt>
        <c:idx val="2"/>
        <c:spPr>
          <a:solidFill>
            <a:schemeClr val="accent1"/>
          </a:solidFill>
          <a:ln>
            <a:noFill/>
          </a:ln>
          <a:effectLst/>
        </c:spPr>
      </c:pivotFmt>
      <c:pivotFmt>
        <c:idx val="3"/>
        <c:spPr>
          <a:solidFill>
            <a:schemeClr val="accent5">
              <a:lumMod val="75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5">
              <a:lumMod val="75000"/>
            </a:schemeClr>
          </a:solidFill>
          <a:ln>
            <a:noFill/>
          </a:ln>
          <a:effectLst/>
        </c:spPr>
      </c:pivotFmt>
      <c:pivotFmt>
        <c:idx val="8"/>
        <c:spPr>
          <a:solidFill>
            <a:schemeClr val="accent5">
              <a:lumMod val="75000"/>
            </a:schemeClr>
          </a:solidFill>
          <a:ln>
            <a:noFill/>
          </a:ln>
          <a:effectLst/>
        </c:spPr>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50000"/>
            </a:schemeClr>
          </a:solidFill>
          <a:ln>
            <a:noFill/>
          </a:ln>
          <a:effectLst/>
        </c:spPr>
      </c:pivotFmt>
      <c:pivotFmt>
        <c:idx val="13"/>
        <c:spPr>
          <a:solidFill>
            <a:schemeClr val="accent5">
              <a:lumMod val="75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5A33-46B2-8BC3-EB53A03C4382}"/>
              </c:ext>
            </c:extLst>
          </c:dPt>
          <c:dPt>
            <c:idx val="1"/>
            <c:invertIfNegative val="0"/>
            <c:bubble3D val="0"/>
            <c:extLst>
              <c:ext xmlns:c16="http://schemas.microsoft.com/office/drawing/2014/chart" uri="{C3380CC4-5D6E-409C-BE32-E72D297353CC}">
                <c16:uniqueId val="{00000003-5A33-46B2-8BC3-EB53A03C4382}"/>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4-5A33-46B2-8BC3-EB53A03C4382}"/>
              </c:ext>
            </c:extLst>
          </c:dPt>
          <c:dPt>
            <c:idx val="3"/>
            <c:invertIfNegative val="0"/>
            <c:bubble3D val="0"/>
            <c:extLst>
              <c:ext xmlns:c16="http://schemas.microsoft.com/office/drawing/2014/chart" uri="{C3380CC4-5D6E-409C-BE32-E72D297353CC}">
                <c16:uniqueId val="{00000005-5A33-46B2-8BC3-EB53A03C4382}"/>
              </c:ext>
            </c:extLst>
          </c:dPt>
          <c:dPt>
            <c:idx val="4"/>
            <c:invertIfNegative val="0"/>
            <c:bubble3D val="0"/>
            <c:extLst>
              <c:ext xmlns:c16="http://schemas.microsoft.com/office/drawing/2014/chart" uri="{C3380CC4-5D6E-409C-BE32-E72D297353CC}">
                <c16:uniqueId val="{00000006-5A33-46B2-8BC3-EB53A03C4382}"/>
              </c:ext>
            </c:extLst>
          </c:dPt>
          <c:dPt>
            <c:idx val="5"/>
            <c:invertIfNegative val="0"/>
            <c:bubble3D val="0"/>
            <c:extLst>
              <c:ext xmlns:c16="http://schemas.microsoft.com/office/drawing/2014/chart" uri="{C3380CC4-5D6E-409C-BE32-E72D297353CC}">
                <c16:uniqueId val="{00000007-5A33-46B2-8BC3-EB53A03C43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_("$"* #,##0.00_);_("$"* \(#,##0.00\);_("$"* "-"??_);_(@_)</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0-5A33-46B2-8BC3-EB53A03C4382}"/>
            </c:ext>
          </c:extLst>
        </c:ser>
        <c:dLbls>
          <c:showLegendKey val="0"/>
          <c:showVal val="0"/>
          <c:showCatName val="0"/>
          <c:showSerName val="0"/>
          <c:showPercent val="0"/>
          <c:showBubbleSize val="0"/>
        </c:dLbls>
        <c:gapWidth val="30"/>
        <c:axId val="1914347775"/>
        <c:axId val="1914362175"/>
      </c:barChart>
      <c:catAx>
        <c:axId val="1914347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62175"/>
        <c:crosses val="autoZero"/>
        <c:auto val="1"/>
        <c:lblAlgn val="ctr"/>
        <c:lblOffset val="100"/>
        <c:noMultiLvlLbl val="0"/>
      </c:catAx>
      <c:valAx>
        <c:axId val="1914362175"/>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1434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[Orbital file.xlsx]Transaction By Amount!PivotTable2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Garamond" panose="02020404030301010803" pitchFamily="18" charset="0"/>
              </a:rPr>
              <a:t>Transaction By Amount</a:t>
            </a:r>
          </a:p>
        </c:rich>
      </c:tx>
      <c:layout>
        <c:manualLayout>
          <c:xMode val="edge"/>
          <c:yMode val="edge"/>
          <c:x val="0.34754848655565307"/>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40000"/>
              <a:lumOff val="60000"/>
            </a:schemeClr>
          </a:solidFill>
          <a:ln>
            <a:noFill/>
          </a:ln>
          <a:effectLst/>
        </c:spPr>
      </c:pivotFmt>
      <c:pivotFmt>
        <c:idx val="12"/>
        <c:spPr>
          <a:solidFill>
            <a:schemeClr val="accent5">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60000"/>
              <a:lumOff val="40000"/>
            </a:schemeClr>
          </a:solidFill>
          <a:ln>
            <a:noFill/>
          </a:ln>
          <a:effectLst/>
        </c:spPr>
      </c:pivotFmt>
      <c:pivotFmt>
        <c:idx val="18"/>
        <c:spPr>
          <a:solidFill>
            <a:schemeClr val="accent5">
              <a:lumMod val="40000"/>
              <a:lumOff val="60000"/>
            </a:schemeClr>
          </a:solidFill>
          <a:ln>
            <a:noFill/>
          </a:ln>
          <a:effectLst/>
        </c:spPr>
      </c:pivotFmt>
      <c:pivotFmt>
        <c:idx val="19"/>
        <c:spPr>
          <a:solidFill>
            <a:schemeClr val="accent5">
              <a:lumMod val="20000"/>
              <a:lumOff val="80000"/>
            </a:schemeClr>
          </a:solidFill>
          <a:ln>
            <a:noFill/>
          </a:ln>
          <a:effectLst/>
        </c:spPr>
      </c:pivotFmt>
      <c:pivotFmt>
        <c:idx val="20"/>
        <c:spPr>
          <a:solidFill>
            <a:schemeClr val="accent5">
              <a:lumMod val="20000"/>
              <a:lumOff val="80000"/>
            </a:schemeClr>
          </a:solidFill>
          <a:ln>
            <a:noFill/>
          </a:ln>
          <a:effectLst/>
        </c:spPr>
      </c:pivotFmt>
    </c:pivotFmts>
    <c:plotArea>
      <c:layout/>
      <c:barChart>
        <c:barDir val="col"/>
        <c:grouping val="clustered"/>
        <c:varyColors val="0"/>
        <c:ser>
          <c:idx val="0"/>
          <c:order val="0"/>
          <c:tx>
            <c:strRef>
              <c:f>'Transaction By Amount'!$B$3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4925-40B2-B52D-95DCF9B631E1}"/>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4925-40B2-B52D-95DCF9B631E1}"/>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4925-40B2-B52D-95DCF9B631E1}"/>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4925-40B2-B52D-95DCF9B631E1}"/>
              </c:ext>
            </c:extLst>
          </c:dPt>
          <c:dPt>
            <c:idx val="4"/>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4925-40B2-B52D-95DCF9B631E1}"/>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4925-40B2-B52D-95DCF9B631E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10-1010</c:v>
                </c:pt>
                <c:pt idx="1">
                  <c:v>1010-2010</c:v>
                </c:pt>
                <c:pt idx="2">
                  <c:v>2010-3010</c:v>
                </c:pt>
                <c:pt idx="3">
                  <c:v>3010-4010</c:v>
                </c:pt>
                <c:pt idx="4">
                  <c:v>4010-5010</c:v>
                </c:pt>
                <c:pt idx="5">
                  <c:v>6010-7010</c:v>
                </c:pt>
                <c:pt idx="6">
                  <c:v>7010-8010</c:v>
                </c:pt>
              </c:strCache>
            </c:strRef>
          </c:cat>
          <c:val>
            <c:numRef>
              <c:f>'Transaction By Amount'!$B$4:$B$11</c:f>
              <c:numCache>
                <c:formatCode>General</c:formatCode>
                <c:ptCount val="7"/>
                <c:pt idx="0">
                  <c:v>221</c:v>
                </c:pt>
                <c:pt idx="1">
                  <c:v>82</c:v>
                </c:pt>
                <c:pt idx="2">
                  <c:v>32</c:v>
                </c:pt>
                <c:pt idx="3">
                  <c:v>23</c:v>
                </c:pt>
                <c:pt idx="4">
                  <c:v>8</c:v>
                </c:pt>
                <c:pt idx="5">
                  <c:v>2</c:v>
                </c:pt>
                <c:pt idx="6">
                  <c:v>1</c:v>
                </c:pt>
              </c:numCache>
            </c:numRef>
          </c:val>
          <c:extLst>
            <c:ext xmlns:c16="http://schemas.microsoft.com/office/drawing/2014/chart" uri="{C3380CC4-5D6E-409C-BE32-E72D297353CC}">
              <c16:uniqueId val="{0000000C-4925-40B2-B52D-95DCF9B631E1}"/>
            </c:ext>
          </c:extLst>
        </c:ser>
        <c:dLbls>
          <c:dLblPos val="outEnd"/>
          <c:showLegendKey val="0"/>
          <c:showVal val="1"/>
          <c:showCatName val="0"/>
          <c:showSerName val="0"/>
          <c:showPercent val="0"/>
          <c:showBubbleSize val="0"/>
        </c:dLbls>
        <c:gapWidth val="30"/>
        <c:overlap val="-27"/>
        <c:axId val="1714456463"/>
        <c:axId val="1714465103"/>
      </c:barChart>
      <c:catAx>
        <c:axId val="171445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714465103"/>
        <c:crosses val="autoZero"/>
        <c:auto val="1"/>
        <c:lblAlgn val="ctr"/>
        <c:lblOffset val="100"/>
        <c:noMultiLvlLbl val="0"/>
      </c:catAx>
      <c:valAx>
        <c:axId val="171446510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445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file.xlsx]Sales By Product Category!PivotTable6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800">
                <a:latin typeface="Garamond" panose="02020404030301010803" pitchFamily="18" charset="0"/>
              </a:rPr>
              <a:t>Sales</a:t>
            </a:r>
            <a:r>
              <a:rPr lang="en-US" sz="1800" baseline="0">
                <a:latin typeface="Garamond" panose="02020404030301010803" pitchFamily="18" charset="0"/>
              </a:rPr>
              <a:t> By Product Category</a:t>
            </a:r>
            <a:endParaRPr lang="en-US" sz="1800">
              <a:latin typeface="Garamond" panose="02020404030301010803" pitchFamily="18" charset="0"/>
            </a:endParaRPr>
          </a:p>
        </c:rich>
      </c:tx>
      <c:layout>
        <c:manualLayout>
          <c:xMode val="edge"/>
          <c:yMode val="edge"/>
          <c:x val="0.467158236412756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337E-41D9-BDB3-838DF4AFD7D6}"/>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337E-41D9-BDB3-838DF4AFD7D6}"/>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337E-41D9-BDB3-838DF4AFD7D6}"/>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337E-41D9-BDB3-838DF4AFD7D6}"/>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337E-41D9-BDB3-838DF4AFD7D6}"/>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337E-41D9-BDB3-838DF4AFD7D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Category'!$A$4:$A$10</c:f>
              <c:strCache>
                <c:ptCount val="6"/>
                <c:pt idx="0">
                  <c:v>Beverages</c:v>
                </c:pt>
                <c:pt idx="1">
                  <c:v>Sauces</c:v>
                </c:pt>
                <c:pt idx="2">
                  <c:v>Jams, Preserves</c:v>
                </c:pt>
                <c:pt idx="3">
                  <c:v>Dairy Products</c:v>
                </c:pt>
                <c:pt idx="4">
                  <c:v>Dried Fruit &amp; Nuts</c:v>
                </c:pt>
                <c:pt idx="5">
                  <c:v>Canned Meat</c:v>
                </c:pt>
              </c:strCache>
            </c:strRef>
          </c:cat>
          <c:val>
            <c:numRef>
              <c:f>'Sales By Product Category'!$B$4:$B$10</c:f>
              <c:numCache>
                <c:formatCode>_("$"* #,##0.00_);_("$"* \(#,##0.00\);_("$"* "-"??_);_(@_)</c:formatCode>
                <c:ptCount val="6"/>
                <c:pt idx="0">
                  <c:v>110577.10999999999</c:v>
                </c:pt>
                <c:pt idx="1">
                  <c:v>69000</c:v>
                </c:pt>
                <c:pt idx="2">
                  <c:v>51541</c:v>
                </c:pt>
                <c:pt idx="3">
                  <c:v>33129.600000000006</c:v>
                </c:pt>
                <c:pt idx="4">
                  <c:v>27999.5</c:v>
                </c:pt>
                <c:pt idx="5">
                  <c:v>25465.599999999999</c:v>
                </c:pt>
              </c:numCache>
            </c:numRef>
          </c:val>
          <c:extLst>
            <c:ext xmlns:c16="http://schemas.microsoft.com/office/drawing/2014/chart" uri="{C3380CC4-5D6E-409C-BE32-E72D297353CC}">
              <c16:uniqueId val="{0000000C-337E-41D9-BDB3-838DF4AFD7D6}"/>
            </c:ext>
          </c:extLst>
        </c:ser>
        <c:dLbls>
          <c:showLegendKey val="0"/>
          <c:showVal val="0"/>
          <c:showCatName val="0"/>
          <c:showSerName val="0"/>
          <c:showPercent val="0"/>
          <c:showBubbleSize val="0"/>
        </c:dLbls>
        <c:gapWidth val="30"/>
        <c:axId val="1914347775"/>
        <c:axId val="1914362175"/>
      </c:barChart>
      <c:catAx>
        <c:axId val="1914347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914362175"/>
        <c:crosses val="autoZero"/>
        <c:auto val="1"/>
        <c:lblAlgn val="ctr"/>
        <c:lblOffset val="100"/>
        <c:noMultiLvlLbl val="0"/>
      </c:catAx>
      <c:valAx>
        <c:axId val="1914362175"/>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91434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file.xlsx]Sales Performance!PivotTable2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800" b="1">
                <a:latin typeface="Garamond" panose="02020404030301010803" pitchFamily="18" charset="0"/>
              </a:rPr>
              <a:t>Sales</a:t>
            </a:r>
            <a:r>
              <a:rPr lang="en-US" sz="1800" b="1" baseline="0">
                <a:latin typeface="Garamond" panose="02020404030301010803" pitchFamily="18" charset="0"/>
              </a:rPr>
              <a:t> Performance analysis by Reps</a:t>
            </a:r>
            <a:endParaRPr lang="en-US" sz="1800"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60000"/>
              <a:lumOff val="40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pivotFmt>
      <c:pivotFmt>
        <c:idx val="11"/>
        <c:spPr>
          <a:solidFill>
            <a:schemeClr val="accent5">
              <a:lumMod val="75000"/>
            </a:schemeClr>
          </a:solidFill>
          <a:ln>
            <a:noFill/>
          </a:ln>
          <a:effectLst/>
        </c:spPr>
      </c:pivotFmt>
      <c:pivotFmt>
        <c:idx val="12"/>
        <c:spPr>
          <a:solidFill>
            <a:schemeClr val="accent5">
              <a:lumMod val="60000"/>
              <a:lumOff val="40000"/>
            </a:schemeClr>
          </a:solidFill>
          <a:ln>
            <a:noFill/>
          </a:ln>
          <a:effectLst/>
        </c:spPr>
      </c:pivotFmt>
      <c:pivotFmt>
        <c:idx val="13"/>
        <c:spPr>
          <a:solidFill>
            <a:schemeClr val="accent5">
              <a:lumMod val="60000"/>
              <a:lumOff val="40000"/>
            </a:schemeClr>
          </a:solidFill>
          <a:ln>
            <a:noFill/>
          </a:ln>
          <a:effectLst/>
        </c:spPr>
      </c:pivotFmt>
      <c:pivotFmt>
        <c:idx val="14"/>
        <c:spPr>
          <a:solidFill>
            <a:schemeClr val="accent5">
              <a:lumMod val="60000"/>
              <a:lumOff val="4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40000"/>
              <a:lumOff val="60000"/>
            </a:schemeClr>
          </a:solidFill>
          <a:ln>
            <a:noFill/>
          </a:ln>
          <a:effectLst/>
        </c:spPr>
      </c:pivotFmt>
      <c:pivotFmt>
        <c:idx val="17"/>
        <c:spPr>
          <a:solidFill>
            <a:schemeClr val="accent5">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c:spPr>
      </c:pivotFmt>
      <c:pivotFmt>
        <c:idx val="20"/>
        <c:spPr>
          <a:solidFill>
            <a:schemeClr val="accent5">
              <a:lumMod val="75000"/>
            </a:schemeClr>
          </a:solidFill>
          <a:ln>
            <a:noFill/>
          </a:ln>
          <a:effectLst/>
        </c:spPr>
      </c:pivotFmt>
      <c:pivotFmt>
        <c:idx val="21"/>
        <c:spPr>
          <a:solidFill>
            <a:schemeClr val="accent5">
              <a:lumMod val="60000"/>
              <a:lumOff val="40000"/>
            </a:schemeClr>
          </a:solidFill>
          <a:ln>
            <a:noFill/>
          </a:ln>
          <a:effectLst/>
        </c:spPr>
      </c:pivotFmt>
      <c:pivotFmt>
        <c:idx val="22"/>
        <c:spPr>
          <a:solidFill>
            <a:schemeClr val="accent5">
              <a:lumMod val="60000"/>
              <a:lumOff val="40000"/>
            </a:schemeClr>
          </a:solidFill>
          <a:ln>
            <a:noFill/>
          </a:ln>
          <a:effectLst/>
        </c:spPr>
      </c:pivotFmt>
      <c:pivotFmt>
        <c:idx val="23"/>
        <c:spPr>
          <a:solidFill>
            <a:schemeClr val="accent5">
              <a:lumMod val="60000"/>
              <a:lumOff val="40000"/>
            </a:schemeClr>
          </a:solidFill>
          <a:ln>
            <a:noFill/>
          </a:ln>
          <a:effectLst/>
        </c:spPr>
      </c:pivotFmt>
      <c:pivotFmt>
        <c:idx val="24"/>
        <c:spPr>
          <a:solidFill>
            <a:schemeClr val="accent5">
              <a:lumMod val="40000"/>
              <a:lumOff val="60000"/>
            </a:schemeClr>
          </a:solidFill>
          <a:ln>
            <a:noFill/>
          </a:ln>
          <a:effectLst/>
        </c:spPr>
      </c:pivotFmt>
      <c:pivotFmt>
        <c:idx val="25"/>
        <c:spPr>
          <a:solidFill>
            <a:schemeClr val="accent5">
              <a:lumMod val="40000"/>
              <a:lumOff val="60000"/>
            </a:schemeClr>
          </a:solidFill>
          <a:ln>
            <a:noFill/>
          </a:ln>
          <a:effectLst/>
        </c:spPr>
      </c:pivotFmt>
      <c:pivotFmt>
        <c:idx val="26"/>
        <c:spPr>
          <a:solidFill>
            <a:schemeClr val="accent5">
              <a:lumMod val="20000"/>
              <a:lumOff val="80000"/>
            </a:schemeClr>
          </a:solidFill>
          <a:ln>
            <a:noFill/>
          </a:ln>
          <a:effectLst/>
        </c:spPr>
      </c:pivotFmt>
      <c:pivotFmt>
        <c:idx val="27"/>
        <c:spPr>
          <a:solidFill>
            <a:schemeClr val="accent5">
              <a:lumMod val="50000"/>
            </a:schemeClr>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s>
    <c:plotArea>
      <c:layout/>
      <c:barChart>
        <c:barDir val="bar"/>
        <c:grouping val="clustered"/>
        <c:varyColors val="0"/>
        <c:ser>
          <c:idx val="0"/>
          <c:order val="0"/>
          <c:tx>
            <c:strRef>
              <c:f>'Sales Performance'!$B$3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87BC-4A7B-9739-F07FF8ADB2FB}"/>
              </c:ext>
            </c:extLst>
          </c:dPt>
          <c:dPt>
            <c:idx val="1"/>
            <c:invertIfNegative val="0"/>
            <c:bubble3D val="0"/>
            <c:extLst>
              <c:ext xmlns:c16="http://schemas.microsoft.com/office/drawing/2014/chart" uri="{C3380CC4-5D6E-409C-BE32-E72D297353CC}">
                <c16:uniqueId val="{00000003-87BC-4A7B-9739-F07FF8ADB2FB}"/>
              </c:ext>
            </c:extLst>
          </c:dPt>
          <c:dPt>
            <c:idx val="2"/>
            <c:invertIfNegative val="0"/>
            <c:bubble3D val="0"/>
            <c:extLst>
              <c:ext xmlns:c16="http://schemas.microsoft.com/office/drawing/2014/chart" uri="{C3380CC4-5D6E-409C-BE32-E72D297353CC}">
                <c16:uniqueId val="{00000005-87BC-4A7B-9739-F07FF8ADB2FB}"/>
              </c:ext>
            </c:extLst>
          </c:dPt>
          <c:dPt>
            <c:idx val="3"/>
            <c:invertIfNegative val="0"/>
            <c:bubble3D val="0"/>
            <c:extLst>
              <c:ext xmlns:c16="http://schemas.microsoft.com/office/drawing/2014/chart" uri="{C3380CC4-5D6E-409C-BE32-E72D297353CC}">
                <c16:uniqueId val="{00000007-87BC-4A7B-9739-F07FF8ADB2FB}"/>
              </c:ext>
            </c:extLst>
          </c:dPt>
          <c:dPt>
            <c:idx val="4"/>
            <c:invertIfNegative val="0"/>
            <c:bubble3D val="0"/>
            <c:extLst>
              <c:ext xmlns:c16="http://schemas.microsoft.com/office/drawing/2014/chart" uri="{C3380CC4-5D6E-409C-BE32-E72D297353CC}">
                <c16:uniqueId val="{00000009-87BC-4A7B-9739-F07FF8ADB2FB}"/>
              </c:ext>
            </c:extLst>
          </c:dPt>
          <c:dPt>
            <c:idx val="5"/>
            <c:invertIfNegative val="0"/>
            <c:bubble3D val="0"/>
            <c:extLst>
              <c:ext xmlns:c16="http://schemas.microsoft.com/office/drawing/2014/chart" uri="{C3380CC4-5D6E-409C-BE32-E72D297353CC}">
                <c16:uniqueId val="{0000000B-87BC-4A7B-9739-F07FF8ADB2FB}"/>
              </c:ext>
            </c:extLst>
          </c:dPt>
          <c:dPt>
            <c:idx val="6"/>
            <c:invertIfNegative val="0"/>
            <c:bubble3D val="0"/>
            <c:extLst>
              <c:ext xmlns:c16="http://schemas.microsoft.com/office/drawing/2014/chart" uri="{C3380CC4-5D6E-409C-BE32-E72D297353CC}">
                <c16:uniqueId val="{0000000D-87BC-4A7B-9739-F07FF8ADB2FB}"/>
              </c:ext>
            </c:extLst>
          </c:dPt>
          <c:dPt>
            <c:idx val="7"/>
            <c:invertIfNegative val="0"/>
            <c:bubble3D val="0"/>
            <c:extLst>
              <c:ext xmlns:c16="http://schemas.microsoft.com/office/drawing/2014/chart" uri="{C3380CC4-5D6E-409C-BE32-E72D297353CC}">
                <c16:uniqueId val="{0000000F-87BC-4A7B-9739-F07FF8ADB2F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Performance'!$A$4:$A$7</c:f>
              <c:strCache>
                <c:ptCount val="3"/>
                <c:pt idx="0">
                  <c:v>Nancy Freehafer</c:v>
                </c:pt>
                <c:pt idx="1">
                  <c:v>Anne Larsen</c:v>
                </c:pt>
                <c:pt idx="2">
                  <c:v>Andrew Cencini</c:v>
                </c:pt>
              </c:strCache>
            </c:strRef>
          </c:cat>
          <c:val>
            <c:numRef>
              <c:f>'Sales Performance'!$B$4:$B$7</c:f>
              <c:numCache>
                <c:formatCode>"$"#,##0</c:formatCode>
                <c:ptCount val="3"/>
                <c:pt idx="0">
                  <c:v>104252.33999999997</c:v>
                </c:pt>
                <c:pt idx="1">
                  <c:v>93858.329999999987</c:v>
                </c:pt>
                <c:pt idx="2">
                  <c:v>67180.5</c:v>
                </c:pt>
              </c:numCache>
            </c:numRef>
          </c:val>
          <c:extLst>
            <c:ext xmlns:c16="http://schemas.microsoft.com/office/drawing/2014/chart" uri="{C3380CC4-5D6E-409C-BE32-E72D297353CC}">
              <c16:uniqueId val="{00000010-87BC-4A7B-9739-F07FF8ADB2FB}"/>
            </c:ext>
          </c:extLst>
        </c:ser>
        <c:dLbls>
          <c:showLegendKey val="0"/>
          <c:showVal val="0"/>
          <c:showCatName val="0"/>
          <c:showSerName val="0"/>
          <c:showPercent val="0"/>
          <c:showBubbleSize val="0"/>
        </c:dLbls>
        <c:gapWidth val="20"/>
        <c:axId val="390637951"/>
        <c:axId val="390630271"/>
      </c:barChart>
      <c:catAx>
        <c:axId val="3906379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390630271"/>
        <c:crosses val="autoZero"/>
        <c:auto val="1"/>
        <c:lblAlgn val="ctr"/>
        <c:lblOffset val="100"/>
        <c:noMultiLvlLbl val="0"/>
      </c:catAx>
      <c:valAx>
        <c:axId val="390630271"/>
        <c:scaling>
          <c:orientation val="minMax"/>
        </c:scaling>
        <c:delete val="1"/>
        <c:axPos val="t"/>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390637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file.xlsx]Top ten customers!PivotTable1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r>
              <a:rPr lang="en-US" sz="1800" b="1">
                <a:latin typeface="Garamond" panose="02020404030301010803" pitchFamily="18" charset="0"/>
              </a:rPr>
              <a:t>Top</a:t>
            </a:r>
            <a:r>
              <a:rPr lang="en-US" sz="1800" b="1" baseline="0">
                <a:latin typeface="Garamond" panose="02020404030301010803" pitchFamily="18" charset="0"/>
              </a:rPr>
              <a:t> Ten Customers</a:t>
            </a:r>
            <a:endParaRPr lang="en-US" sz="1800"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ivotFmts>
      <c:pivotFmt>
        <c:idx val="0"/>
        <c:spPr>
          <a:solidFill>
            <a:schemeClr val="accent1"/>
          </a:solidFill>
          <a:ln w="3175">
            <a:solidFill>
              <a:schemeClr val="accen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3175">
            <a:solidFill>
              <a:schemeClr val="accent1"/>
            </a:solidFill>
          </a:ln>
          <a:effectLst>
            <a:outerShdw blurRad="50800" dist="50800" dir="5400000" sx="1000" sy="1000" algn="ctr" rotWithShape="0">
              <a:srgbClr val="000000">
                <a:alpha val="43137"/>
              </a:srgbClr>
            </a:outerShdw>
          </a:effectLst>
        </c:spPr>
      </c:pivotFmt>
      <c:pivotFmt>
        <c:idx val="2"/>
        <c:spPr>
          <a:solidFill>
            <a:schemeClr val="accent5">
              <a:lumMod val="75000"/>
            </a:schemeClr>
          </a:solidFill>
          <a:ln w="3175">
            <a:solidFill>
              <a:schemeClr val="accent1"/>
            </a:solidFill>
          </a:ln>
          <a:effectLst>
            <a:outerShdw blurRad="50800" dist="50800" dir="5400000" sx="1000" sy="1000" algn="ctr" rotWithShape="0">
              <a:srgbClr val="000000">
                <a:alpha val="43137"/>
              </a:srgbClr>
            </a:outerShdw>
          </a:effectLst>
        </c:spPr>
      </c:pivotFmt>
      <c:pivotFmt>
        <c:idx val="3"/>
        <c:spPr>
          <a:solidFill>
            <a:schemeClr val="accent5">
              <a:lumMod val="75000"/>
            </a:schemeClr>
          </a:solidFill>
          <a:ln w="3175">
            <a:solidFill>
              <a:schemeClr val="accent1"/>
            </a:solidFill>
          </a:ln>
          <a:effectLst>
            <a:outerShdw blurRad="50800" dist="50800" dir="5400000" sx="1000" sy="1000" algn="ctr" rotWithShape="0">
              <a:srgbClr val="000000">
                <a:alpha val="43137"/>
              </a:srgbClr>
            </a:outerShdw>
          </a:effectLst>
        </c:spPr>
      </c:pivotFmt>
      <c:pivotFmt>
        <c:idx val="4"/>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5"/>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6"/>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7"/>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8"/>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9"/>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10"/>
        <c:spPr>
          <a:solidFill>
            <a:schemeClr val="accent5">
              <a:lumMod val="20000"/>
              <a:lumOff val="80000"/>
            </a:schemeClr>
          </a:solidFill>
          <a:ln w="3175">
            <a:solidFill>
              <a:schemeClr val="accent1"/>
            </a:solidFill>
          </a:ln>
          <a:effectLst>
            <a:outerShdw blurRad="50800" dist="50800" dir="5400000" sx="1000" sy="1000" algn="ctr" rotWithShape="0">
              <a:srgbClr val="000000">
                <a:alpha val="43137"/>
              </a:srgbClr>
            </a:outerShdw>
          </a:effectLst>
        </c:spPr>
      </c:pivotFmt>
      <c:pivotFmt>
        <c:idx val="11"/>
        <c:spPr>
          <a:solidFill>
            <a:schemeClr val="accent1"/>
          </a:solidFill>
          <a:ln w="3175">
            <a:solidFill>
              <a:schemeClr val="accen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schemeClr>
          </a:solidFill>
          <a:ln w="3175">
            <a:solidFill>
              <a:schemeClr val="accent1"/>
            </a:solidFill>
          </a:ln>
          <a:effectLst>
            <a:outerShdw blurRad="50800" dist="50800" dir="5400000" sx="1000" sy="1000" algn="ctr" rotWithShape="0">
              <a:srgbClr val="000000">
                <a:alpha val="43137"/>
              </a:srgbClr>
            </a:outerShdw>
          </a:effectLst>
        </c:spPr>
      </c:pivotFmt>
      <c:pivotFmt>
        <c:idx val="13"/>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14"/>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15"/>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16"/>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17"/>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18"/>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19"/>
        <c:spPr>
          <a:solidFill>
            <a:schemeClr val="accent5">
              <a:lumMod val="75000"/>
            </a:schemeClr>
          </a:solidFill>
          <a:ln w="3175">
            <a:solidFill>
              <a:schemeClr val="accent1"/>
            </a:solidFill>
          </a:ln>
          <a:effectLst>
            <a:outerShdw blurRad="50800" dist="50800" dir="5400000" sx="1000" sy="1000" algn="ctr" rotWithShape="0">
              <a:srgbClr val="000000">
                <a:alpha val="43137"/>
              </a:srgbClr>
            </a:outerShdw>
          </a:effectLst>
        </c:spPr>
      </c:pivotFmt>
      <c:pivotFmt>
        <c:idx val="20"/>
        <c:spPr>
          <a:solidFill>
            <a:schemeClr val="accent5">
              <a:lumMod val="75000"/>
            </a:schemeClr>
          </a:solidFill>
          <a:ln w="3175">
            <a:solidFill>
              <a:schemeClr val="accent1"/>
            </a:solidFill>
          </a:ln>
          <a:effectLst>
            <a:outerShdw blurRad="50800" dist="50800" dir="5400000" sx="1000" sy="1000" algn="ctr" rotWithShape="0">
              <a:srgbClr val="000000">
                <a:alpha val="43137"/>
              </a:srgbClr>
            </a:outerShdw>
          </a:effectLst>
        </c:spPr>
      </c:pivotFmt>
      <c:pivotFmt>
        <c:idx val="21"/>
        <c:spPr>
          <a:solidFill>
            <a:schemeClr val="accent5">
              <a:lumMod val="50000"/>
            </a:schemeClr>
          </a:solidFill>
          <a:ln w="3175">
            <a:solidFill>
              <a:schemeClr val="accent1"/>
            </a:solidFill>
          </a:ln>
          <a:effectLst>
            <a:outerShdw blurRad="50800" dist="50800" dir="5400000" sx="1000" sy="1000" algn="ctr" rotWithShape="0">
              <a:srgbClr val="000000">
                <a:alpha val="43137"/>
              </a:srgbClr>
            </a:outerShdw>
          </a:effectLst>
        </c:spPr>
      </c:pivotFmt>
      <c:pivotFmt>
        <c:idx val="22"/>
        <c:spPr>
          <a:solidFill>
            <a:schemeClr val="accent1"/>
          </a:solidFill>
          <a:ln w="3175">
            <a:solidFill>
              <a:schemeClr val="accent1"/>
            </a:solid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20000"/>
              <a:lumOff val="80000"/>
            </a:schemeClr>
          </a:solidFill>
          <a:ln w="3175">
            <a:solidFill>
              <a:schemeClr val="accent1"/>
            </a:solidFill>
          </a:ln>
          <a:effectLst>
            <a:outerShdw blurRad="50800" dist="50800" dir="5400000" sx="1000" sy="1000" algn="ctr" rotWithShape="0">
              <a:srgbClr val="000000">
                <a:alpha val="43137"/>
              </a:srgbClr>
            </a:outerShdw>
          </a:effectLst>
        </c:spPr>
      </c:pivotFmt>
      <c:pivotFmt>
        <c:idx val="24"/>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25"/>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26"/>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27"/>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28"/>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29"/>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pivotFmt>
      <c:pivotFmt>
        <c:idx val="30"/>
        <c:spPr>
          <a:solidFill>
            <a:schemeClr val="accent5">
              <a:lumMod val="20000"/>
              <a:lumOff val="80000"/>
            </a:schemeClr>
          </a:solidFill>
          <a:ln w="3175">
            <a:solidFill>
              <a:schemeClr val="accent1"/>
            </a:solidFill>
          </a:ln>
          <a:effectLst>
            <a:outerShdw blurRad="50800" dist="50800" dir="5400000" sx="1000" sy="1000" algn="ctr" rotWithShape="0">
              <a:srgbClr val="000000">
                <a:alpha val="43137"/>
              </a:srgbClr>
            </a:outerShdw>
          </a:effectLst>
        </c:spPr>
      </c:pivotFmt>
      <c:pivotFmt>
        <c:idx val="31"/>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
        <c:idx val="32"/>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pivotFmt>
    </c:pivotFmts>
    <c:plotArea>
      <c:layout/>
      <c:barChart>
        <c:barDir val="bar"/>
        <c:grouping val="clustered"/>
        <c:varyColors val="0"/>
        <c:ser>
          <c:idx val="0"/>
          <c:order val="0"/>
          <c:tx>
            <c:strRef>
              <c:f>'Top ten customers'!$B$3</c:f>
              <c:strCache>
                <c:ptCount val="1"/>
                <c:pt idx="0">
                  <c:v>Total</c:v>
                </c:pt>
              </c:strCache>
            </c:strRef>
          </c:tx>
          <c:spPr>
            <a:solidFill>
              <a:schemeClr val="accent1"/>
            </a:solidFill>
            <a:ln w="3175">
              <a:solidFill>
                <a:schemeClr val="accent1"/>
              </a:solidFill>
            </a:ln>
            <a:effectLst>
              <a:outerShdw blurRad="50800" dist="50800" dir="5400000" sx="1000" sy="1000" algn="ctr" rotWithShape="0">
                <a:srgbClr val="000000">
                  <a:alpha val="43137"/>
                </a:srgbClr>
              </a:outerShdw>
            </a:effectLst>
          </c:spPr>
          <c:invertIfNegative val="0"/>
          <c:dPt>
            <c:idx val="0"/>
            <c:invertIfNegative val="0"/>
            <c:bubble3D val="0"/>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E4EC-427B-86E9-C25C4B438925}"/>
              </c:ext>
            </c:extLst>
          </c:dPt>
          <c:dPt>
            <c:idx val="1"/>
            <c:invertIfNegative val="0"/>
            <c:bubble3D val="0"/>
            <c:spPr>
              <a:solidFill>
                <a:schemeClr val="accent5">
                  <a:lumMod val="40000"/>
                  <a:lumOff val="60000"/>
                </a:schemeClr>
              </a:solidFill>
              <a:ln w="3175">
                <a:solidFill>
                  <a:schemeClr val="accen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E4EC-427B-86E9-C25C4B438925}"/>
              </c:ext>
            </c:extLst>
          </c:dPt>
          <c:dPt>
            <c:idx val="2"/>
            <c:invertIfNegative val="0"/>
            <c:bubble3D val="0"/>
            <c:spPr>
              <a:solidFill>
                <a:schemeClr val="accent5">
                  <a:lumMod val="60000"/>
                  <a:lumOff val="40000"/>
                </a:schemeClr>
              </a:solidFill>
              <a:ln w="3175">
                <a:solidFill>
                  <a:schemeClr val="accent1"/>
                </a:solidFill>
              </a:ln>
              <a:effectLst>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E4EC-427B-86E9-C25C4B438925}"/>
              </c:ext>
            </c:extLst>
          </c:dPt>
          <c:dPt>
            <c:idx val="3"/>
            <c:invertIfNegative val="0"/>
            <c:bubble3D val="0"/>
            <c:extLst>
              <c:ext xmlns:c16="http://schemas.microsoft.com/office/drawing/2014/chart" uri="{C3380CC4-5D6E-409C-BE32-E72D297353CC}">
                <c16:uniqueId val="{00000007-E4EC-427B-86E9-C25C4B438925}"/>
              </c:ext>
            </c:extLst>
          </c:dPt>
          <c:dPt>
            <c:idx val="4"/>
            <c:invertIfNegative val="0"/>
            <c:bubble3D val="0"/>
            <c:extLst>
              <c:ext xmlns:c16="http://schemas.microsoft.com/office/drawing/2014/chart" uri="{C3380CC4-5D6E-409C-BE32-E72D297353CC}">
                <c16:uniqueId val="{00000009-E4EC-427B-86E9-C25C4B438925}"/>
              </c:ext>
            </c:extLst>
          </c:dPt>
          <c:dPt>
            <c:idx val="5"/>
            <c:invertIfNegative val="0"/>
            <c:bubble3D val="0"/>
            <c:extLst>
              <c:ext xmlns:c16="http://schemas.microsoft.com/office/drawing/2014/chart" uri="{C3380CC4-5D6E-409C-BE32-E72D297353CC}">
                <c16:uniqueId val="{0000000B-E4EC-427B-86E9-C25C4B438925}"/>
              </c:ext>
            </c:extLst>
          </c:dPt>
          <c:dPt>
            <c:idx val="6"/>
            <c:invertIfNegative val="0"/>
            <c:bubble3D val="0"/>
            <c:extLst>
              <c:ext xmlns:c16="http://schemas.microsoft.com/office/drawing/2014/chart" uri="{C3380CC4-5D6E-409C-BE32-E72D297353CC}">
                <c16:uniqueId val="{0000000D-E4EC-427B-86E9-C25C4B438925}"/>
              </c:ext>
            </c:extLst>
          </c:dPt>
          <c:dPt>
            <c:idx val="7"/>
            <c:invertIfNegative val="0"/>
            <c:bubble3D val="0"/>
            <c:extLst>
              <c:ext xmlns:c16="http://schemas.microsoft.com/office/drawing/2014/chart" uri="{C3380CC4-5D6E-409C-BE32-E72D297353CC}">
                <c16:uniqueId val="{0000000F-E4EC-427B-86E9-C25C4B438925}"/>
              </c:ext>
            </c:extLst>
          </c:dPt>
          <c:dPt>
            <c:idx val="8"/>
            <c:invertIfNegative val="0"/>
            <c:bubble3D val="0"/>
            <c:extLst>
              <c:ext xmlns:c16="http://schemas.microsoft.com/office/drawing/2014/chart" uri="{C3380CC4-5D6E-409C-BE32-E72D297353CC}">
                <c16:uniqueId val="{00000011-E4EC-427B-86E9-C25C4B438925}"/>
              </c:ext>
            </c:extLst>
          </c:dPt>
          <c:dPt>
            <c:idx val="9"/>
            <c:invertIfNegative val="0"/>
            <c:bubble3D val="0"/>
            <c:extLst>
              <c:ext xmlns:c16="http://schemas.microsoft.com/office/drawing/2014/chart" uri="{C3380CC4-5D6E-409C-BE32-E72D297353CC}">
                <c16:uniqueId val="{00000013-E4EC-427B-86E9-C25C4B43892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ten customers'!$A$4:$A$7</c:f>
              <c:strCache>
                <c:ptCount val="3"/>
                <c:pt idx="0">
                  <c:v>Company J</c:v>
                </c:pt>
                <c:pt idx="1">
                  <c:v>Company H</c:v>
                </c:pt>
                <c:pt idx="2">
                  <c:v>Company F</c:v>
                </c:pt>
              </c:strCache>
            </c:strRef>
          </c:cat>
          <c:val>
            <c:numRef>
              <c:f>'Top ten customers'!$B$4:$B$7</c:f>
              <c:numCache>
                <c:formatCode>0%</c:formatCode>
                <c:ptCount val="3"/>
                <c:pt idx="0">
                  <c:v>45</c:v>
                </c:pt>
                <c:pt idx="1">
                  <c:v>41</c:v>
                </c:pt>
                <c:pt idx="2">
                  <c:v>36</c:v>
                </c:pt>
              </c:numCache>
            </c:numRef>
          </c:val>
          <c:extLst>
            <c:ext xmlns:c16="http://schemas.microsoft.com/office/drawing/2014/chart" uri="{C3380CC4-5D6E-409C-BE32-E72D297353CC}">
              <c16:uniqueId val="{00000014-E4EC-427B-86E9-C25C4B438925}"/>
            </c:ext>
          </c:extLst>
        </c:ser>
        <c:dLbls>
          <c:showLegendKey val="0"/>
          <c:showVal val="0"/>
          <c:showCatName val="0"/>
          <c:showSerName val="0"/>
          <c:showPercent val="0"/>
          <c:showBubbleSize val="0"/>
        </c:dLbls>
        <c:gapWidth val="20"/>
        <c:axId val="440520799"/>
        <c:axId val="440527999"/>
      </c:barChart>
      <c:catAx>
        <c:axId val="440520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440527999"/>
        <c:crosses val="autoZero"/>
        <c:auto val="1"/>
        <c:lblAlgn val="ctr"/>
        <c:lblOffset val="100"/>
        <c:noMultiLvlLbl val="0"/>
      </c:catAx>
      <c:valAx>
        <c:axId val="44052799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4052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file.xlsx]Top Six Ship City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Garamond" panose="02020404030301010803" pitchFamily="18" charset="0"/>
              </a:rPr>
              <a:t>Top</a:t>
            </a:r>
            <a:r>
              <a:rPr lang="en-US" sz="1800" baseline="0">
                <a:latin typeface="Garamond" panose="02020404030301010803" pitchFamily="18" charset="0"/>
              </a:rPr>
              <a:t> Six Ship City By Revenue</a:t>
            </a:r>
            <a:endParaRPr lang="en-US" sz="18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75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40000"/>
              <a:lumOff val="60000"/>
            </a:schemeClr>
          </a:solidFill>
          <a:ln>
            <a:noFill/>
          </a:ln>
          <a:effectLst/>
        </c:spPr>
      </c:pivotFmt>
      <c:pivotFmt>
        <c:idx val="6"/>
        <c:spPr>
          <a:solidFill>
            <a:schemeClr val="accent5">
              <a:lumMod val="20000"/>
              <a:lumOff val="8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c:spPr>
      </c:pivotFmt>
      <c:pivotFmt>
        <c:idx val="9"/>
        <c:spPr>
          <a:solidFill>
            <a:schemeClr val="accent5">
              <a:lumMod val="75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60000"/>
              <a:lumOff val="40000"/>
            </a:schemeClr>
          </a:solidFill>
          <a:ln>
            <a:noFill/>
          </a:ln>
          <a:effectLst/>
        </c:spPr>
      </c:pivotFmt>
      <c:pivotFmt>
        <c:idx val="12"/>
        <c:spPr>
          <a:solidFill>
            <a:schemeClr val="accent5">
              <a:lumMod val="40000"/>
              <a:lumOff val="6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75000"/>
            </a:schemeClr>
          </a:solidFill>
          <a:ln>
            <a:noFill/>
          </a:ln>
          <a:effectLst/>
        </c:spPr>
      </c:pivotFmt>
      <c:pivotFmt>
        <c:idx val="18"/>
        <c:spPr>
          <a:solidFill>
            <a:schemeClr val="accent5">
              <a:lumMod val="60000"/>
              <a:lumOff val="40000"/>
            </a:schemeClr>
          </a:solidFill>
          <a:ln>
            <a:noFill/>
          </a:ln>
          <a:effectLst/>
        </c:spPr>
      </c:pivotFmt>
      <c:pivotFmt>
        <c:idx val="19"/>
        <c:spPr>
          <a:solidFill>
            <a:schemeClr val="accent5">
              <a:lumMod val="40000"/>
              <a:lumOff val="60000"/>
            </a:schemeClr>
          </a:solidFill>
          <a:ln>
            <a:noFill/>
          </a:ln>
          <a:effectLst/>
        </c:spPr>
      </c:pivotFmt>
      <c:pivotFmt>
        <c:idx val="20"/>
        <c:spPr>
          <a:solidFill>
            <a:schemeClr val="accent5">
              <a:lumMod val="20000"/>
              <a:lumOff val="80000"/>
            </a:schemeClr>
          </a:solidFill>
          <a:ln>
            <a:noFill/>
          </a:ln>
          <a:effectLst/>
        </c:spPr>
      </c:pivotFmt>
    </c:pivotFmts>
    <c:plotArea>
      <c:layout/>
      <c:barChart>
        <c:barDir val="bar"/>
        <c:grouping val="clustered"/>
        <c:varyColors val="0"/>
        <c:ser>
          <c:idx val="0"/>
          <c:order val="0"/>
          <c:tx>
            <c:strRef>
              <c:f>'Top Six Ship City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27C7-4A13-A4DC-E18EFEAA4F15}"/>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3-27C7-4A13-A4DC-E18EFEAA4F15}"/>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5-27C7-4A13-A4DC-E18EFEAA4F15}"/>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7-27C7-4A13-A4DC-E18EFEAA4F15}"/>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9-27C7-4A13-A4DC-E18EFEAA4F15}"/>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27C7-4A13-A4DC-E18EFEAA4F1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Six Ship City '!$A$4:$A$10</c:f>
              <c:strCache>
                <c:ptCount val="6"/>
                <c:pt idx="0">
                  <c:v>New York</c:v>
                </c:pt>
                <c:pt idx="1">
                  <c:v>Portland</c:v>
                </c:pt>
                <c:pt idx="2">
                  <c:v>Miami</c:v>
                </c:pt>
                <c:pt idx="3">
                  <c:v>Memphis</c:v>
                </c:pt>
                <c:pt idx="4">
                  <c:v>Chicago</c:v>
                </c:pt>
                <c:pt idx="5">
                  <c:v>Milwaukee</c:v>
                </c:pt>
              </c:strCache>
            </c:strRef>
          </c:cat>
          <c:val>
            <c:numRef>
              <c:f>'Top Six Ship City '!$B$4:$B$10</c:f>
              <c:numCache>
                <c:formatCode>_("$"* #,##0.00_);_("$"* \(#,##0.00\);_("$"* "-"??_);_(@_)</c:formatCode>
                <c:ptCount val="6"/>
                <c:pt idx="0">
                  <c:v>67180.5</c:v>
                </c:pt>
                <c:pt idx="1">
                  <c:v>50208.35</c:v>
                </c:pt>
                <c:pt idx="2">
                  <c:v>50145.330000000009</c:v>
                </c:pt>
                <c:pt idx="3">
                  <c:v>43713</c:v>
                </c:pt>
                <c:pt idx="4">
                  <c:v>41095.01</c:v>
                </c:pt>
                <c:pt idx="5">
                  <c:v>37428</c:v>
                </c:pt>
              </c:numCache>
            </c:numRef>
          </c:val>
          <c:extLst>
            <c:ext xmlns:c16="http://schemas.microsoft.com/office/drawing/2014/chart" uri="{C3380CC4-5D6E-409C-BE32-E72D297353CC}">
              <c16:uniqueId val="{0000000C-27C7-4A13-A4DC-E18EFEAA4F15}"/>
            </c:ext>
          </c:extLst>
        </c:ser>
        <c:dLbls>
          <c:dLblPos val="outEnd"/>
          <c:showLegendKey val="0"/>
          <c:showVal val="1"/>
          <c:showCatName val="0"/>
          <c:showSerName val="0"/>
          <c:showPercent val="0"/>
          <c:showBubbleSize val="0"/>
        </c:dLbls>
        <c:gapWidth val="30"/>
        <c:axId val="1655038063"/>
        <c:axId val="1655036143"/>
      </c:barChart>
      <c:catAx>
        <c:axId val="1655038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036143"/>
        <c:crosses val="autoZero"/>
        <c:auto val="1"/>
        <c:lblAlgn val="ctr"/>
        <c:lblOffset val="100"/>
        <c:noMultiLvlLbl val="0"/>
      </c:catAx>
      <c:valAx>
        <c:axId val="1655036143"/>
        <c:scaling>
          <c:orientation val="minMax"/>
        </c:scaling>
        <c:delete val="1"/>
        <c:axPos val="t"/>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655038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file.xlsx]Sales Trend Report!PivotTable1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Garamond" panose="02020404030301010803" pitchFamily="18" charset="0"/>
              </a:rPr>
              <a:t>Sales</a:t>
            </a:r>
            <a:r>
              <a:rPr lang="en-US" sz="1800" baseline="0">
                <a:latin typeface="Garamond" panose="02020404030301010803" pitchFamily="18" charset="0"/>
              </a:rPr>
              <a:t> Trend Report</a:t>
            </a:r>
            <a:endParaRPr lang="en-US" sz="1800">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Report'!$B$2</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Report'!$B$3:$B$15</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9DA4-47A9-AC9F-7EFB5DCF3CCD}"/>
            </c:ext>
          </c:extLst>
        </c:ser>
        <c:dLbls>
          <c:dLblPos val="t"/>
          <c:showLegendKey val="0"/>
          <c:showVal val="1"/>
          <c:showCatName val="0"/>
          <c:showSerName val="0"/>
          <c:showPercent val="0"/>
          <c:showBubbleSize val="0"/>
        </c:dLbls>
        <c:smooth val="0"/>
        <c:axId val="1985149871"/>
        <c:axId val="1985137871"/>
      </c:lineChart>
      <c:catAx>
        <c:axId val="198514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137871"/>
        <c:crosses val="autoZero"/>
        <c:auto val="1"/>
        <c:lblAlgn val="ctr"/>
        <c:lblOffset val="100"/>
        <c:noMultiLvlLbl val="0"/>
      </c:catAx>
      <c:valAx>
        <c:axId val="1985137871"/>
        <c:scaling>
          <c:orientation val="minMax"/>
        </c:scaling>
        <c:delete val="1"/>
        <c:axPos val="l"/>
        <c:majorGridlines>
          <c:spPr>
            <a:ln w="9525" cap="flat" cmpd="sng" algn="ctr">
              <a:noFill/>
              <a:round/>
            </a:ln>
            <a:effectLst/>
          </c:spPr>
        </c:majorGridlines>
        <c:numFmt formatCode="_(&quot;$&quot;* #,##0.00_);_(&quot;$&quot;* \(#,##0.00\);_(&quot;$&quot;* &quot;-&quot;??_);_(@_)" sourceLinked="1"/>
        <c:majorTickMark val="none"/>
        <c:minorTickMark val="none"/>
        <c:tickLblPos val="nextTo"/>
        <c:crossAx val="198514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file.xlsx]Regional Performance!PivotTable3</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sz="1800" b="0">
                <a:latin typeface="Garamond" panose="02020404030301010803" pitchFamily="18" charset="0"/>
              </a:rPr>
              <a:t>Regional Performance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5">
              <a:lumMod val="60000"/>
              <a:lumOff val="40000"/>
            </a:schemeClr>
          </a:solidFill>
          <a:ln w="19050">
            <a:solidFill>
              <a:schemeClr val="lt1"/>
            </a:solidFill>
          </a:ln>
          <a:effectLst/>
        </c:spPr>
      </c:pivotFmt>
      <c:pivotFmt>
        <c:idx val="4"/>
        <c:spPr>
          <a:solidFill>
            <a:schemeClr val="accent5">
              <a:lumMod val="5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pivotFmt>
      <c:pivotFmt>
        <c:idx val="7"/>
        <c:spPr>
          <a:solidFill>
            <a:schemeClr val="accent5">
              <a:lumMod val="75000"/>
            </a:schemeClr>
          </a:solidFill>
          <a:ln w="19050">
            <a:solidFill>
              <a:schemeClr val="lt1"/>
            </a:solidFill>
          </a:ln>
          <a:effectLst/>
        </c:spPr>
      </c:pivotFmt>
      <c:pivotFmt>
        <c:idx val="8"/>
        <c:spPr>
          <a:solidFill>
            <a:schemeClr val="accent5">
              <a:lumMod val="60000"/>
              <a:lumOff val="40000"/>
            </a:schemeClr>
          </a:solidFill>
          <a:ln w="19050">
            <a:solidFill>
              <a:schemeClr val="lt1"/>
            </a:solidFill>
          </a:ln>
          <a:effectLst/>
        </c:spPr>
      </c:pivotFmt>
      <c:pivotFmt>
        <c:idx val="9"/>
        <c:spPr>
          <a:solidFill>
            <a:schemeClr val="accent5">
              <a:lumMod val="5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w="19050">
            <a:solidFill>
              <a:schemeClr val="lt1"/>
            </a:solidFill>
          </a:ln>
          <a:effectLst/>
        </c:spPr>
      </c:pivotFmt>
      <c:pivotFmt>
        <c:idx val="12"/>
        <c:spPr>
          <a:solidFill>
            <a:schemeClr val="accent5">
              <a:lumMod val="75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pivotFmt>
      <c:pivotFmt>
        <c:idx val="14"/>
        <c:spPr>
          <a:solidFill>
            <a:srgbClr val="4472C4">
              <a:lumMod val="40000"/>
              <a:lumOff val="60000"/>
            </a:srgbClr>
          </a:solidFill>
          <a:ln w="19050">
            <a:solidFill>
              <a:schemeClr val="lt1"/>
            </a:solidFill>
          </a:ln>
          <a:effectLst/>
        </c:spPr>
      </c:pivotFmt>
    </c:pivotFmts>
    <c:plotArea>
      <c:layout/>
      <c:pieChart>
        <c:varyColors val="1"/>
        <c:ser>
          <c:idx val="0"/>
          <c:order val="0"/>
          <c:tx>
            <c:strRef>
              <c:f>'Regional Performance'!$B$3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D829-4A15-B95A-192EE2C8F70F}"/>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D829-4A15-B95A-192EE2C8F70F}"/>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D829-4A15-B95A-192EE2C8F70F}"/>
              </c:ext>
            </c:extLst>
          </c:dPt>
          <c:dPt>
            <c:idx val="3"/>
            <c:bubble3D val="0"/>
            <c:spPr>
              <a:solidFill>
                <a:srgbClr val="4472C4">
                  <a:lumMod val="40000"/>
                  <a:lumOff val="60000"/>
                </a:srgbClr>
              </a:solidFill>
              <a:ln w="19050">
                <a:solidFill>
                  <a:schemeClr val="lt1"/>
                </a:solidFill>
              </a:ln>
              <a:effectLst/>
            </c:spPr>
            <c:extLst>
              <c:ext xmlns:c16="http://schemas.microsoft.com/office/drawing/2014/chart" uri="{C3380CC4-5D6E-409C-BE32-E72D297353CC}">
                <c16:uniqueId val="{00000007-D829-4A15-B95A-192EE2C8F70F}"/>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Performance'!$A$4:$A$8</c:f>
              <c:strCache>
                <c:ptCount val="4"/>
                <c:pt idx="0">
                  <c:v>North</c:v>
                </c:pt>
                <c:pt idx="1">
                  <c:v>East</c:v>
                </c:pt>
                <c:pt idx="2">
                  <c:v>South</c:v>
                </c:pt>
                <c:pt idx="3">
                  <c:v>West</c:v>
                </c:pt>
              </c:strCache>
            </c:strRef>
          </c:cat>
          <c:val>
            <c:numRef>
              <c:f>'Regional Performance'!$B$4:$B$8</c:f>
              <c:numCache>
                <c:formatCode>"$"#,##0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D829-4A15-B95A-192EE2C8F70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[Orbital file.xlsx]Sales Trend Report!PivotTable1</c:name>
    <c:fmtId val="10"/>
  </c:pivotSource>
  <c:chart>
    <c:autoTitleDeleted val="1"/>
    <c:pivotFmts>
      <c:pivotFmt>
        <c:idx val="0"/>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50000"/>
              </a:schemeClr>
            </a:solidFill>
            <a:round/>
          </a:ln>
          <a:effectLst/>
        </c:spPr>
        <c:marker>
          <c:symbol val="none"/>
        </c:marker>
        <c:dLbl>
          <c:idx val="0"/>
          <c:layout>
            <c:manualLayout>
              <c:x val="-4.7820181173989722E-2"/>
              <c:y val="-6.93673590194148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50000"/>
              </a:schemeClr>
            </a:solidFill>
            <a:round/>
          </a:ln>
          <a:effectLst/>
        </c:spPr>
        <c:marker>
          <c:symbol val="none"/>
        </c:marker>
        <c:dLbl>
          <c:idx val="0"/>
          <c:layout>
            <c:manualLayout>
              <c:x val="-4.5703779410277069E-2"/>
              <c:y val="1.600808190963125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50000"/>
              </a:schemeClr>
            </a:solidFill>
            <a:round/>
          </a:ln>
          <a:effectLst/>
        </c:spPr>
        <c:marker>
          <c:symbol val="none"/>
        </c:marker>
        <c:dLbl>
          <c:idx val="0"/>
          <c:layout>
            <c:manualLayout>
              <c:x val="-9.0148216448241225E-2"/>
              <c:y val="-6.462427896780120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293671261342968"/>
          <c:w val="0.97737110560696061"/>
          <c:h val="0.7169595330810371"/>
        </c:manualLayout>
      </c:layout>
      <c:lineChart>
        <c:grouping val="standard"/>
        <c:varyColors val="0"/>
        <c:ser>
          <c:idx val="0"/>
          <c:order val="0"/>
          <c:tx>
            <c:strRef>
              <c:f>'Sales Trend Report'!$B$2</c:f>
              <c:strCache>
                <c:ptCount val="1"/>
                <c:pt idx="0">
                  <c:v>Total</c:v>
                </c:pt>
              </c:strCache>
            </c:strRef>
          </c:tx>
          <c:spPr>
            <a:ln w="28575" cap="rnd">
              <a:solidFill>
                <a:schemeClr val="accent5">
                  <a:lumMod val="50000"/>
                </a:schemeClr>
              </a:solidFill>
              <a:round/>
            </a:ln>
            <a:effectLst/>
          </c:spPr>
          <c:marker>
            <c:symbol val="none"/>
          </c:marker>
          <c:dPt>
            <c:idx val="6"/>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2-9989-481D-8915-C921B7ECCAD6}"/>
              </c:ext>
            </c:extLst>
          </c:dPt>
          <c:dPt>
            <c:idx val="7"/>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9989-481D-8915-C921B7ECCAD6}"/>
              </c:ext>
            </c:extLst>
          </c:dPt>
          <c:dPt>
            <c:idx val="8"/>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0-9989-481D-8915-C921B7ECCAD6}"/>
              </c:ext>
            </c:extLst>
          </c:dPt>
          <c:dLbls>
            <c:dLbl>
              <c:idx val="6"/>
              <c:layout>
                <c:manualLayout>
                  <c:x val="-9.0148216448241225E-2"/>
                  <c:y val="-6.462427896780120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89-481D-8915-C921B7ECCAD6}"/>
                </c:ext>
              </c:extLst>
            </c:dLbl>
            <c:dLbl>
              <c:idx val="7"/>
              <c:layout>
                <c:manualLayout>
                  <c:x val="-4.5703779410277069E-2"/>
                  <c:y val="1.60080819096312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89-481D-8915-C921B7ECCAD6}"/>
                </c:ext>
              </c:extLst>
            </c:dLbl>
            <c:dLbl>
              <c:idx val="8"/>
              <c:layout>
                <c:manualLayout>
                  <c:x val="-4.7820181173989722E-2"/>
                  <c:y val="-6.936735901941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989-481D-8915-C921B7ECCAD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Report'!$B$3:$B$15</c:f>
              <c:numCache>
                <c:formatCode>_("$"* #,##0.00_);_("$"* \(#,##0.00\);_("$"* "-"??_);_(@_)</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087-42AF-9E51-AF051E01555D}"/>
            </c:ext>
          </c:extLst>
        </c:ser>
        <c:dLbls>
          <c:dLblPos val="t"/>
          <c:showLegendKey val="0"/>
          <c:showVal val="1"/>
          <c:showCatName val="0"/>
          <c:showSerName val="0"/>
          <c:showPercent val="0"/>
          <c:showBubbleSize val="0"/>
        </c:dLbls>
        <c:smooth val="0"/>
        <c:axId val="1985149871"/>
        <c:axId val="1985137871"/>
      </c:lineChart>
      <c:catAx>
        <c:axId val="1985149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137871"/>
        <c:crosses val="autoZero"/>
        <c:auto val="1"/>
        <c:lblAlgn val="ctr"/>
        <c:lblOffset val="100"/>
        <c:noMultiLvlLbl val="0"/>
      </c:catAx>
      <c:valAx>
        <c:axId val="1985137871"/>
        <c:scaling>
          <c:orientation val="minMax"/>
        </c:scaling>
        <c:delete val="1"/>
        <c:axPos val="l"/>
        <c:majorGridlines>
          <c:spPr>
            <a:ln w="9525" cap="flat" cmpd="sng" algn="ctr">
              <a:solidFill>
                <a:srgbClr val="4472C4">
                  <a:lumMod val="20000"/>
                  <a:lumOff val="80000"/>
                </a:srgbClr>
              </a:solidFill>
              <a:round/>
            </a:ln>
            <a:effectLst/>
          </c:spPr>
        </c:majorGridlines>
        <c:numFmt formatCode="_(&quot;$&quot;* #,##0.00_);_(&quot;$&quot;* \(#,##0.00\);_(&quot;$&quot;* &quot;-&quot;??_);_(@_)" sourceLinked="1"/>
        <c:majorTickMark val="none"/>
        <c:minorTickMark val="none"/>
        <c:tickLblPos val="nextTo"/>
        <c:crossAx val="198514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file.xlsx]Sales Performance!PivotTable2</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0151049674487009"/>
              <c:y val="-9.42408221559431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0.163141869768541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w="19050">
            <a:solidFill>
              <a:schemeClr val="lt1"/>
            </a:solidFill>
          </a:ln>
          <a:effectLst/>
        </c:spPr>
        <c:dLbl>
          <c:idx val="0"/>
          <c:layout>
            <c:manualLayout>
              <c:x val="-8.3383622326143325E-2"/>
              <c:y val="-4.3979050339440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48366440332895"/>
          <c:y val="2.6131786158309155E-2"/>
          <c:w val="0.38097979895440764"/>
          <c:h val="0.73745268683519827"/>
        </c:manualLayout>
      </c:layout>
      <c:doughnutChart>
        <c:varyColors val="1"/>
        <c:ser>
          <c:idx val="0"/>
          <c:order val="0"/>
          <c:tx>
            <c:strRef>
              <c:f>'Sales Performance'!$B$3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29F5-470D-A9C1-89AFC4B792B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29F5-470D-A9C1-89AFC4B792B7}"/>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29F5-470D-A9C1-89AFC4B792B7}"/>
              </c:ext>
            </c:extLst>
          </c:dPt>
          <c:dLbls>
            <c:dLbl>
              <c:idx val="0"/>
              <c:layout>
                <c:manualLayout>
                  <c:x val="0.10151049674487009"/>
                  <c:y val="-9.4240822155943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F5-470D-A9C1-89AFC4B792B7}"/>
                </c:ext>
              </c:extLst>
            </c:dLbl>
            <c:dLbl>
              <c:idx val="1"/>
              <c:layout>
                <c:manualLayout>
                  <c:x val="-0.1631418697685412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F5-470D-A9C1-89AFC4B792B7}"/>
                </c:ext>
              </c:extLst>
            </c:dLbl>
            <c:dLbl>
              <c:idx val="2"/>
              <c:layout>
                <c:manualLayout>
                  <c:x val="-8.3383622326143325E-2"/>
                  <c:y val="-4.39790503394401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F5-470D-A9C1-89AFC4B792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Performance'!$A$4:$A$7</c:f>
              <c:strCache>
                <c:ptCount val="3"/>
                <c:pt idx="0">
                  <c:v>Nancy Freehafer</c:v>
                </c:pt>
                <c:pt idx="1">
                  <c:v>Anne Larsen</c:v>
                </c:pt>
                <c:pt idx="2">
                  <c:v>Andrew Cencini</c:v>
                </c:pt>
              </c:strCache>
            </c:strRef>
          </c:cat>
          <c:val>
            <c:numRef>
              <c:f>'Sales Performance'!$B$4:$B$7</c:f>
              <c:numCache>
                <c:formatCode>"$"#,##0</c:formatCode>
                <c:ptCount val="3"/>
                <c:pt idx="0">
                  <c:v>104252.33999999997</c:v>
                </c:pt>
                <c:pt idx="1">
                  <c:v>93858.329999999987</c:v>
                </c:pt>
                <c:pt idx="2">
                  <c:v>67180.5</c:v>
                </c:pt>
              </c:numCache>
            </c:numRef>
          </c:val>
          <c:extLst>
            <c:ext xmlns:c16="http://schemas.microsoft.com/office/drawing/2014/chart" uri="{C3380CC4-5D6E-409C-BE32-E72D297353CC}">
              <c16:uniqueId val="{00000006-29F5-470D-A9C1-89AFC4B792B7}"/>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layout>
        <c:manualLayout>
          <c:xMode val="edge"/>
          <c:yMode val="edge"/>
          <c:x val="0.70166162063963033"/>
          <c:y val="0.27814003740940141"/>
          <c:w val="0.27658613005789751"/>
          <c:h val="0.318065000937461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file.xlsx]Product By Sale Category!PivotTable1</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4692239939692725"/>
              <c:y val="0.280991918391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0.15883502637505639"/>
              <c:y val="-4.13223409398979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w="19050">
            <a:solidFill>
              <a:schemeClr val="lt1"/>
            </a:solidFill>
          </a:ln>
          <a:effectLst/>
        </c:spPr>
        <c:dLbl>
          <c:idx val="0"/>
          <c:layout>
            <c:manualLayout>
              <c:x val="-0.13500977241879797"/>
              <c:y val="-8.2644681879795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91025511788163"/>
          <c:y val="0.10743808644373426"/>
          <c:w val="0.46010767342868159"/>
          <c:h val="0.89106389735400349"/>
        </c:manualLayout>
      </c:layout>
      <c:doughnutChart>
        <c:varyColors val="1"/>
        <c:ser>
          <c:idx val="0"/>
          <c:order val="0"/>
          <c:tx>
            <c:strRef>
              <c:f>'Product By Sale Category'!$B$3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8DB0-499D-9ECA-E2035B90847B}"/>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DB0-499D-9ECA-E2035B90847B}"/>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8DB0-499D-9ECA-E2035B90847B}"/>
              </c:ext>
            </c:extLst>
          </c:dPt>
          <c:dLbls>
            <c:dLbl>
              <c:idx val="0"/>
              <c:layout>
                <c:manualLayout>
                  <c:x val="0.14692239939692725"/>
                  <c:y val="0.280991918391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DB0-499D-9ECA-E2035B90847B}"/>
                </c:ext>
              </c:extLst>
            </c:dLbl>
            <c:dLbl>
              <c:idx val="1"/>
              <c:layout>
                <c:manualLayout>
                  <c:x val="-0.15883502637505639"/>
                  <c:y val="-4.1322340939897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DB0-499D-9ECA-E2035B90847B}"/>
                </c:ext>
              </c:extLst>
            </c:dLbl>
            <c:dLbl>
              <c:idx val="2"/>
              <c:layout>
                <c:manualLayout>
                  <c:x val="-0.13500977241879797"/>
                  <c:y val="-8.2644681879795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B0-499D-9ECA-E2035B9084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By Sale Category'!$A$4:$A$7</c:f>
              <c:strCache>
                <c:ptCount val="3"/>
                <c:pt idx="0">
                  <c:v>Beverages</c:v>
                </c:pt>
                <c:pt idx="1">
                  <c:v>Sauces</c:v>
                </c:pt>
                <c:pt idx="2">
                  <c:v>Jams, Preserves</c:v>
                </c:pt>
              </c:strCache>
            </c:strRef>
          </c:cat>
          <c:val>
            <c:numRef>
              <c:f>'Product By Sale Category'!$B$4:$B$7</c:f>
              <c:numCache>
                <c:formatCode>General</c:formatCode>
                <c:ptCount val="3"/>
                <c:pt idx="0">
                  <c:v>110577.10999999999</c:v>
                </c:pt>
                <c:pt idx="1">
                  <c:v>69000</c:v>
                </c:pt>
                <c:pt idx="2">
                  <c:v>51541</c:v>
                </c:pt>
              </c:numCache>
            </c:numRef>
          </c:val>
          <c:extLst>
            <c:ext xmlns:c16="http://schemas.microsoft.com/office/drawing/2014/chart" uri="{C3380CC4-5D6E-409C-BE32-E72D297353CC}">
              <c16:uniqueId val="{00000006-8DB0-499D-9ECA-E2035B90847B}"/>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r"/>
      <c:layout>
        <c:manualLayout>
          <c:xMode val="edge"/>
          <c:yMode val="edge"/>
          <c:x val="0.70801494675118271"/>
          <c:y val="0.28253939125358968"/>
          <c:w val="0.29198505324881724"/>
          <c:h val="0.418391630371334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file.xlsx]Top ten customers!PivotTable1</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19050">
            <a:solidFill>
              <a:schemeClr val="lt1"/>
            </a:solidFill>
          </a:ln>
          <a:effectLst/>
        </c:spPr>
        <c:dLbl>
          <c:idx val="0"/>
          <c:layout>
            <c:manualLayout>
              <c:x val="-7.6013341638273071E-2"/>
              <c:y val="-0.10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0.20776980047794635"/>
              <c:y val="3.1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dLbl>
          <c:idx val="0"/>
          <c:layout>
            <c:manualLayout>
              <c:x val="0.1317564588396733"/>
              <c:y val="-0.112500000000000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98651870466881E-2"/>
          <c:y val="0.16070718503937007"/>
          <c:w val="0.57047354516249893"/>
          <c:h val="0.70358562992125984"/>
        </c:manualLayout>
      </c:layout>
      <c:doughnutChart>
        <c:varyColors val="1"/>
        <c:ser>
          <c:idx val="0"/>
          <c:order val="0"/>
          <c:tx>
            <c:strRef>
              <c:f>'Top ten customers'!$B$3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5B1A-4FF1-941E-B1738769D6BA}"/>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5B1A-4FF1-941E-B1738769D6BA}"/>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5B1A-4FF1-941E-B1738769D6BA}"/>
              </c:ext>
            </c:extLst>
          </c:dPt>
          <c:dLbls>
            <c:dLbl>
              <c:idx val="0"/>
              <c:layout>
                <c:manualLayout>
                  <c:x val="0.1317564588396733"/>
                  <c:y val="-0.1125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1A-4FF1-941E-B1738769D6BA}"/>
                </c:ext>
              </c:extLst>
            </c:dLbl>
            <c:dLbl>
              <c:idx val="1"/>
              <c:layout>
                <c:manualLayout>
                  <c:x val="-0.20776980047794635"/>
                  <c:y val="3.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1A-4FF1-941E-B1738769D6BA}"/>
                </c:ext>
              </c:extLst>
            </c:dLbl>
            <c:dLbl>
              <c:idx val="2"/>
              <c:layout>
                <c:manualLayout>
                  <c:x val="-7.6013341638273071E-2"/>
                  <c:y val="-0.10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1A-4FF1-941E-B1738769D6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ten customers'!$A$4:$A$7</c:f>
              <c:strCache>
                <c:ptCount val="3"/>
                <c:pt idx="0">
                  <c:v>Company J</c:v>
                </c:pt>
                <c:pt idx="1">
                  <c:v>Company H</c:v>
                </c:pt>
                <c:pt idx="2">
                  <c:v>Company F</c:v>
                </c:pt>
              </c:strCache>
            </c:strRef>
          </c:cat>
          <c:val>
            <c:numRef>
              <c:f>'Top ten customers'!$B$4:$B$7</c:f>
              <c:numCache>
                <c:formatCode>0%</c:formatCode>
                <c:ptCount val="3"/>
                <c:pt idx="0">
                  <c:v>45</c:v>
                </c:pt>
                <c:pt idx="1">
                  <c:v>41</c:v>
                </c:pt>
                <c:pt idx="2">
                  <c:v>36</c:v>
                </c:pt>
              </c:numCache>
            </c:numRef>
          </c:val>
          <c:extLst>
            <c:ext xmlns:c16="http://schemas.microsoft.com/office/drawing/2014/chart" uri="{C3380CC4-5D6E-409C-BE32-E72D297353CC}">
              <c16:uniqueId val="{00000006-5B1A-4FF1-941E-B1738769D6BA}"/>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[Orbital file.xlsx]Regional Performance!PivotTable3</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lumMod val="50000"/>
              </a:schemeClr>
            </a:solidFill>
            <a:round/>
          </a:ln>
          <a:effectLst/>
        </c:spPr>
        <c:marker>
          <c:symbol val="none"/>
        </c:marker>
        <c:dLbl>
          <c:idx val="0"/>
          <c:layout>
            <c:manualLayout>
              <c:x val="0.17011494252873563"/>
              <c:y val="8.3842806291346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5">
                <a:lumMod val="50000"/>
              </a:schemeClr>
            </a:solidFill>
            <a:round/>
          </a:ln>
          <a:effectLst/>
        </c:spPr>
        <c:marker>
          <c:symbol val="none"/>
        </c:marker>
        <c:dLbl>
          <c:idx val="0"/>
          <c:layout>
            <c:manualLayout>
              <c:x val="5.5172413793103281E-2"/>
              <c:y val="0.125764209437019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5">
                <a:lumMod val="50000"/>
              </a:schemeClr>
            </a:solidFill>
            <a:round/>
          </a:ln>
          <a:effectLst/>
        </c:spPr>
        <c:marker>
          <c:symbol val="none"/>
        </c:marker>
        <c:dLbl>
          <c:idx val="0"/>
          <c:layout>
            <c:manualLayout>
              <c:x val="0.17011494252873563"/>
              <c:y val="1.04803507864181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5">
                <a:lumMod val="50000"/>
              </a:schemeClr>
            </a:solidFill>
            <a:round/>
          </a:ln>
          <a:effectLst/>
        </c:spPr>
        <c:marker>
          <c:symbol val="none"/>
        </c:marker>
        <c:dLbl>
          <c:idx val="0"/>
          <c:layout>
            <c:manualLayout>
              <c:x val="-0.11494252873563218"/>
              <c:y val="-0.120524034043810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'Regional Performance'!$B$3</c:f>
              <c:strCache>
                <c:ptCount val="1"/>
                <c:pt idx="0">
                  <c:v>Total</c:v>
                </c:pt>
              </c:strCache>
            </c:strRef>
          </c:tx>
          <c:spPr>
            <a:ln w="28575" cap="rnd">
              <a:solidFill>
                <a:schemeClr val="accent5">
                  <a:lumMod val="50000"/>
                </a:schemeClr>
              </a:solidFill>
              <a:round/>
            </a:ln>
            <a:effectLst/>
          </c:spPr>
          <c:marker>
            <c:symbol val="none"/>
          </c:marker>
          <c:dPt>
            <c:idx val="0"/>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1-373E-4601-9FCA-D0493CD86624}"/>
              </c:ext>
            </c:extLst>
          </c:dPt>
          <c:dPt>
            <c:idx val="1"/>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3-373E-4601-9FCA-D0493CD86624}"/>
              </c:ext>
            </c:extLst>
          </c:dPt>
          <c:dPt>
            <c:idx val="2"/>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5-373E-4601-9FCA-D0493CD86624}"/>
              </c:ext>
            </c:extLst>
          </c:dPt>
          <c:dPt>
            <c:idx val="3"/>
            <c:marker>
              <c:symbol val="none"/>
            </c:marker>
            <c:bubble3D val="0"/>
            <c:spPr>
              <a:ln w="28575" cap="rnd">
                <a:solidFill>
                  <a:schemeClr val="accent5">
                    <a:lumMod val="50000"/>
                  </a:schemeClr>
                </a:solidFill>
                <a:round/>
              </a:ln>
              <a:effectLst/>
            </c:spPr>
            <c:extLst>
              <c:ext xmlns:c16="http://schemas.microsoft.com/office/drawing/2014/chart" uri="{C3380CC4-5D6E-409C-BE32-E72D297353CC}">
                <c16:uniqueId val="{00000007-373E-4601-9FCA-D0493CD86624}"/>
              </c:ext>
            </c:extLst>
          </c:dPt>
          <c:dLbls>
            <c:dLbl>
              <c:idx val="0"/>
              <c:layout>
                <c:manualLayout>
                  <c:x val="0.17011494252873563"/>
                  <c:y val="8.3842806291346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3E-4601-9FCA-D0493CD86624}"/>
                </c:ext>
              </c:extLst>
            </c:dLbl>
            <c:dLbl>
              <c:idx val="1"/>
              <c:layout>
                <c:manualLayout>
                  <c:x val="5.5172413793103281E-2"/>
                  <c:y val="0.125764209437019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3E-4601-9FCA-D0493CD86624}"/>
                </c:ext>
              </c:extLst>
            </c:dLbl>
            <c:dLbl>
              <c:idx val="2"/>
              <c:layout>
                <c:manualLayout>
                  <c:x val="0.17011494252873563"/>
                  <c:y val="1.04803507864181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3E-4601-9FCA-D0493CD86624}"/>
                </c:ext>
              </c:extLst>
            </c:dLbl>
            <c:dLbl>
              <c:idx val="3"/>
              <c:layout>
                <c:manualLayout>
                  <c:x val="-0.11494252873563218"/>
                  <c:y val="-0.120524034043810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3E-4601-9FCA-D0493CD866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Performance'!$A$4:$A$8</c:f>
              <c:strCache>
                <c:ptCount val="4"/>
                <c:pt idx="0">
                  <c:v>North</c:v>
                </c:pt>
                <c:pt idx="1">
                  <c:v>East</c:v>
                </c:pt>
                <c:pt idx="2">
                  <c:v>South</c:v>
                </c:pt>
                <c:pt idx="3">
                  <c:v>West</c:v>
                </c:pt>
              </c:strCache>
            </c:strRef>
          </c:cat>
          <c:val>
            <c:numRef>
              <c:f>'Regional Performance'!$B$4:$B$8</c:f>
              <c:numCache>
                <c:formatCode>"$"#,##0</c:formatCode>
                <c:ptCount val="4"/>
                <c:pt idx="0">
                  <c:v>141680.33999999997</c:v>
                </c:pt>
                <c:pt idx="1">
                  <c:v>108275.51</c:v>
                </c:pt>
                <c:pt idx="2">
                  <c:v>93858.329999999987</c:v>
                </c:pt>
                <c:pt idx="3">
                  <c:v>91251.979999999981</c:v>
                </c:pt>
              </c:numCache>
            </c:numRef>
          </c:val>
          <c:extLst>
            <c:ext xmlns:c16="http://schemas.microsoft.com/office/drawing/2014/chart" uri="{C3380CC4-5D6E-409C-BE32-E72D297353CC}">
              <c16:uniqueId val="{00000008-373E-4601-9FCA-D0493CD86624}"/>
            </c:ext>
          </c:extLst>
        </c:ser>
        <c:dLbls>
          <c:showLegendKey val="0"/>
          <c:showVal val="0"/>
          <c:showCatName val="0"/>
          <c:showSerName val="0"/>
          <c:showPercent val="0"/>
          <c:showBubbleSize val="0"/>
        </c:dLbls>
        <c:axId val="1249199887"/>
        <c:axId val="1249198447"/>
      </c:radarChart>
      <c:catAx>
        <c:axId val="12491998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198447"/>
        <c:crosses val="autoZero"/>
        <c:auto val="1"/>
        <c:lblAlgn val="ctr"/>
        <c:lblOffset val="100"/>
        <c:noMultiLvlLbl val="0"/>
      </c:catAx>
      <c:valAx>
        <c:axId val="124919844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out"/>
        <c:minorTickMark val="none"/>
        <c:tickLblPos val="nextTo"/>
        <c:crossAx val="124919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Performance By State</a:t>
          </a:r>
        </a:p>
      </cx:txPr>
    </cx:title>
    <cx:plotArea>
      <cx:plotAreaRegion>
        <cx:series layoutId="regionMap" uniqueId="{75BD8B5B-DC6E-47CF-B7E1-7278F47C5E5E}">
          <cx:tx>
            <cx:txData>
              <cx:f>_xlchart.v5.2</cx:f>
              <cx:v>Revenue Generated</cx:v>
            </cx:txData>
          </cx:tx>
          <cx:dataLabels>
            <cx:numFmt formatCode="$#,##0.00" sourceLinked="0"/>
            <cx:visibility seriesName="0" categoryName="0" value="1"/>
            <cx:separator>, </cx:separator>
          </cx:dataLabels>
          <cx:dataId val="0"/>
          <cx:layoutPr>
            <cx:regionLabelLayout val="showAll"/>
            <cx:geography cultureLanguage="en-US" cultureRegion="US" attribution="Powered by Bing">
              <cx:geoCache provider="{E9337A44-BEBE-4D9F-B70C-5C5E7DAFC167}">
                <cx:binary>1JtZbxtJsqj/SsPPt9S5L4PpAW5VkRQpiZIsyW37pSDLcu251V6//oa8ja12e04PDi7QhmGJLCYz
MyJj+yL9z4f5Hw/N4334ZW4b0/3jYf7tRdH37h+//to9FI/tfXfSlg/BdvZDf/Jg21/thw/lw+Ov
78P9VJr8V4Iw+/WhuA/94/ziX/+Eb8sf7bl9uO9La66Hx7C8fOyGpu9+8uyHj365f9+WJi27PpQP
Pf7txfHVi18eTV/2y+3iHn978d3zF7/8+vxb/jDjLw0sqh/ew1iqTygXjHGK9Mc/6sUvjTX558cR
xuJEcE6VVAo9/cFf5j7etzD++Djev7//8t6P1vNxNffv34fHroOtfPz573Hfrf3T1h7sYPonaeUg
uN9e3Jmyf3z/y01/3z92L34pO5t8+kBinzZwd/Nxx79+L+9//fPZGyCDZ+98o5LnAvtPj/6gkeT/
/kwCf1Ej8oRwJoTG+qPAnyT+vUb0icCSSMzwJ5V9mfuTRpL7pvxggyn/C618O/aZZp62+HfUzOUX
6fzobP5FzagTrRXniJEfawbxE86kooJ+mfSzSmxjw/17++XdHy3lx2aSfB35XB2wr7+hOi5f/kwG
f00djJ5oqoQSVHyyA/3MUAg64VxhTMGCPvnLT+q4DI+5NV/e+58r48u4Z6p42tPfUBXb859J4K+p
gqgTrjnH4rNH0s9UocgJU5Iyougny3lmIFuwj/K/CSNfBz7TydPm/oY62af/ezph7IQqjST5Eib+
ENkZRHZNpUL8y6yf7GP//r74L3zV52HPNPG0pb+jJv4XrYOhEwxaEIp9OvyIfO+olD7BDNwYV/yr
I/vWX+2bpjS2hOTnz7O+H4ePf498rpW/p30c3/xMBn/NZzEC4UMTRunnaA4+6ds8S/ITAU+4wOyT
VsSXuT9ZyfFx+uWNDfWXd//nceTfI59p5Wl7f0NbuT3+TAZ/TSuUnyhGtEafy40/2Io4oYwSJpj4
YSS5fTQGCo3Hx58t6cfG8s3QZ3p52uDfUC93tz8Twl/UC9SJhEopCP8k92c+DGN8IqQihIhndnLX
3xc/W8ePlfFp1DM9PG3ob6iH36F0+nPP/df0wOQJg4yWSyU/eSX5vdfCH5NewRRi+KOinuW+v993
BdCK/r/Jf78d+0wzT1v8O2pm/7+oGUinqNacis8k5XkOrE8kJZAl6x/nwL+X3YM1XflfFCbfDH2u
F9jg30AvP1/it7bz3Sf/OuviCEyHUfk1dnwb8bU+QfipetefIz77cjo+RfxnJOrPl/UnLu17kPXd
Tv4/Ya4/R2BfGWF6399vPsLFbyjYz59+3C7AzmdDf+bzPslu//63FwTzpxj/FVo+fcnnkZ+kflF2
3dNf58ov6vhm3ON91//2IlLqBIPHY5hQTjnmAr5yevz4SENgeuKbmECZY2zoC6Ce8Gtnh4+/QnIu
tYTClTBNhOTqK7y9ss0CoODr5j+//sUM7ZUtTd/99gJqKvfpU09r4kxzSTRlWEqskJISluEe7l+C
x4UP4/8zoF4V/Vjkez+b9QK1YdnRaorKmDV6wSnKi/AwD6N/cDhkh2/E8oO5gXz8YXYoIPDHIwxn
GPFns5ey9Lx2Xb1vK7teyLxetxHpyJCsrVMp7wt02nuO85jgPq9i7JeaxaMl5twyu9yt2eB9bPOO
5LGtRWhijRcbkjoj81UoWZ3KJXJvVleHlcRdVQ7rWVbKZdiYzpENxf16oWWOTmGVTRYvBZvr41iY
8VFWig6JL8t1Gwqqu7hiVLz00SKTUGXzTk3TfLVKWK+jxbKTI8sOls8gN2Fmcw7L5CbOJuPuqTbr
ViFdp2aI6H4ZlgrHomCRcafN4vIh3OBsHaKDmosJx0sEWno/5jQX20nLiLxCY5aXm3bI51DFdRHx
NwXSiy1jPem+OLM9rRWNp9a76coTORSxzNWUH1cdFWpr6wXnL6cciS1q6tazuMxbpLakG3uURgW4
nz1mT5/McaHl6znUzuyERyLOo7rksViKUCcZ7mSe4kmtVCW4Fjgvm7gVGZIi9iZ/165LfjnKxW4s
Wpsy7uTiXYxzr16vw9xHG4OneTMZL3eDWNMeXsUWjeGBV348SlWhLqlRTk8bQfH1WhKbTlk2vg7N
tVa62bWhRRe4U81O6a0Lo6qSsRH+LLTT1jPvrnxREzgwTqK4H0qbRIvOrkexzHe14/VrVCx1LBtT
JJQPNunLmj9GZq5eqq6fY69nnxod6W1hcLnvlaZvKt7V8VQUNi1lMPtSm/7AsuaUYNy8LJqqvh7n
3phYRrlMzOR3EZ7EobNmP+vlVpowhjjSunvHLc5etnUh05nScl/not2gqW/PJGq6TedYmxRr2dzZ
UZjYR7jY5bPVDyKvfROHLFRXYyT8fT5ijpPZLeioF7UWcV/h6GAKAaMWZNB16Nyym7xfX1HS3FaR
I2+EyF2eEFY/lETgV0KBUbGJsm3WZGyf1+0YCz+3+0Cnxyzr1P0613ijnUVLDD6hvw9rt6nWMpzi
YmJx7aazkRX8sqm7ZkvHlbaxyDN7GnJW763G4iKzEr+ZyaCOWJopi8nU73VVN3vDFp0MzHa33WDz
Szpxe1rTlp5NxTIfG9Wsp23u+LVzBT4Oo6tee1NUb0CjzW6eB3o22LU5HYxxx3plzYPLe5ElWcjl
oQx0vfK8H8/b3qu0LR0e48wp+XKp+raJo4iCW6FzeaGWQK/1ikQVT2ASp80csih2qiwPRuT0clBD
dz4GWv4+d2geY7pM6MLVY3nRF7W/HephuilL4Q60zs0mmkv9xrKlehVG0Z/13OpoMw+yOqBVrmSL
26K94khne7fO065fUZ6iSqtt8CP/wMfgd0yK5fe5InWa62hvatfue55dNMiaNBsKFE+azxts8j3R
7mzhaEkyTWNXs+H9YCYS09o0pyif59hwZ1OMu3EXSiO3pEBzus7Cv3MZH86Qn8ptw5YyEYZN15Xl
/ljUajm1YaDX2TItrwdbrg88w+M1CCS7nK0bfl/lgpORTW0KdtKntp2r06lh1c6xSvi4HWx958rQ
7EDtYC3R5Lda1u49jUS/W1U7d/GcIbqZxcxi34b+SuLRkGRsF5FUZCxi1XHyYSWFjmIksgGO8mJT
TfCtm+vxosjaKzf2+kgsyV8TBfa/cu23M12iMUZLiS5EWaML3df6GNmWXC/zOECg6BZ9bi1udrqZ
Lxs/uCbGYKiHYchZujLdtkk29fO+rHF+cLYyaa5EmYAwzMXg+1hLCq7GNOYsErw6EM/wjVhaThLU
R1nSebE8FNU0B9i0CmU8dFV12i2df1cLuZlRVR8gluhN5i15Ww1juW863uw8K8tbHKruZS57eST9
MsfR4NcmHpba33Vm0MeZy/Vi7Fx07+yAIKLh6WVTWp/HYD3y3EzT8n6JbLUkde75qTF8OkR5O+6y
Do/HsQ/0QBpitqr0/tXEeXc18yVLFzauO1rOxTVENvdG6MG+U72RH5ay7ptY9F0ea52/n+q52rBy
1XHWu+1k1XC2zB1PJUZ9EllYZ6KjLtorXFdTjLpmvHetwk0ykok2iVij6tAUzL/KBtNvrHR2r3hb
ZgkXVf3BMOy3nR797yo3QmyYzdt3NM/Vzvg5uxhwps5GZaK4mdewL7Q61UNNmnghEN/ihvXNsWdI
X1aq7S5qvPSbQXX24G3UX2R9JNKK1fw4NXKMo9EMvyvGRUycHrukY9Gs4o5Ow7XLO3W+Rnp5RHRo
hlgPJYRrDTI+a6Y+ui0KLt740oLrqSPLYttFlXly2k7E65plmx4peylrQ48lygy4pXFJa9UsOK4y
rnayh+4BnImppAnRkU9aXNhktlLd12h1W1TSezZ09iLKDb9Red7FGM30fOo1Aze4kKvFryjJM3Px
pMCDbyjerf2QjIspU115cjGovtrnxNI4FMZe2ZzQO6n6cTPLqNl6b/kuEpVxsRZ0owQEx6YuuzSy
1O2XFXXXkufsoS9C08e4d2s6TKO+wbxyW+M7skVFwLc8qwqWtJFjV3XmsyIm46yvm9zI3VRAkJ0Q
PVdZmEDtLUMXHuGLnon5oHuiNriM/GMxlKSPo2XSp1nv5amMKpd0TbckJlu6K7c27qpenD+tCkJO
Z8pNsvIySqZp1esuw0H+DrkAuZ2prpZ44FR+UG00vGmt4tusdq+5b+QmqvQ1JaGrYH+oh7xjUt0p
AZeXx1VfFYfJhWgvDOnKRDIRMgjafn0oXWh93JXZdCDDnHIL4W2pVQ5Hk3Xbtqr5VQa56RaXEKwH
UbNqO6kgq5T6FfKPGZzwkeaDTzsfXhkU2stxGplLshWxHcQ7sx3ZUKdNHy3bqMTylNhGXUosZ4gK
snwDCZrokqhSkIAs2engqizJi1qTWOKA6z1vcpzAyW6uJuvGIglsrngskYX0deyWTR3V00sRQhFP
K532Ai3msq/9BHZCRYDDoeV7SHyLDWM12dUI3IqSBJLpGTJVE/cETTcjavI7VNvmjhHIAVnerSzh
mfeXru712VoLyFZynu2RdEMb56iiKK4tRLBYjdm+HMawpnNOq0PVa+3jcsTlACmmtqetJ3n3SNtK
drqO637BysXUq/Ns5HU69yoceFP4axF19IKxsBy1DzjVdZknfe7nQ2GmdZND4v96FeqsYuI2F+WU
DqQ8mpJj2CU7tLXEb0vJSByWpkl8JjSkZK14jdeR7JdImnicCpr6Ieo2jq73oVjelTK6Vo6tsS5G
kTYrLuLOlyixvZl2iEYsqXmTzFAinJUNbjdNld+BWuh2WBRLdKeHlDaQ3ERNeTmykl50nL3BHcvi
eeyHOK/rJq1rFRLXNiCYdtJx0y4uVpS62EpmDnnh6dYMalvkZjmocrwsFkZe0WCaOlGzbRMkTNjC
pQqSrNG8Jlk90HS1Sx9b1u6kmqd4LSv6ZonIvKvK1SWtVjudcXk5i6JOnDD1hYHjdx91ckMkz27b
vhOnLsqWAycduijapkzHfGLJqgKEOaBw+9JJtV26fk1cl/FkYcMUO9vnRxM1ENnrarnkCDZXqWZT
rn0LdYILfSKc7OKfl4Z/LEuB21LKFKAPoQBxfF+WFhlbmnJQ5b5qOyjrollmh7Aq8NJ8qMUNQwYq
UsilDIRsVENH72u5/oO6FGrrZzWxIAIRgqgCOIb1s8nX0gSxrK7c49mGh7UK5tyVTXGpal2//PlU
AGieT0UxdNLwU/WrJH82VenLSsxFC1M54s0GbGRpYgNFPrQLfrYl/FRJf1/nC8ok0wAckMJCPAn8
mzq/tsvCQi3z/eCyZVuowPZimMmmAQZ05UNd6/NRF6gEpbf3TuZQUU9rXlxGWfFUXGcFrO7jkj4T
m89i/oQiHqxbQpkXn6+SfX35r1vbwt+PF53+/ebTTbR/v7r4coXtp5/aPdon+NI9/9DTar5+Fyzm
8+qemM13L/4AkP4EEX26EfcnD7/jR9/Rsu84EIND8FV3f6BHP2R2H/nR07jP9EiIE8hAqQCqDndJ
MENwbj7RI3AJJxwTaEdpyuFWlgJFf2ZIEsPNOSYBFxL1kS19BkoYbglRwgEoYbijpeGi1l8BShS6
kN+ctKcZ4YhpgSmRAq67kGcnrcFgL3iC+lrhrB/0hjjmoiZBbizXV5wPrr5nUeAd5BlLt7C0JzMv
ZkgtM/QuN4GZKLFkruVBF3wZ0lpHxp9Oum26i4a3LloA9czcveN1X802jYRoKprkUjL8KGe7DC+b
YpbNvVLcZQ9QYnpxhMDhHY1bXHawFOY4BOsCEtoJ8v6GA/KI7cTb9hwDtoAl522LlzPSUlN9iLoR
QnDyjUo/H/1vqRv0PL6TkUZP8A6uMeqna3MEPbmFb6xR4rYcClGox2yypvKnfcsadtqwsQvydO3y
vpyStXRwb65BWUmy7c+nf+YNmNBSUmD7jCoKmoLFfD//WlHVCSTK9xWuaV0mvQVKWUD+TyJfbcM8
5aFPQ9HnrIgjFq3OXE2MLh1JMFvFRA+9KAzwEWs9DfiouYKc8T/ICEPj5xshSVCYFpop8tR90ALu
6ny/SIP6Iqtmpx9QRbh4y2gYoxsias6jONA2J6fjpEYDsbJlgchYhqaTddysCHdJT80s76oJDdHN
fxLeR/V840yB/0KipMFoEJVMwY2u71eGkDdWlkW3A6yIim5D+Dwikg5wD2+wH7rVSCUS2+Vu6nTc
ZmuBRdzzvMftGRxkMMs8sbXrIeMnbDYVumoznuf2dPGT5/aYzVCWzlDqk7kjbzrvW59vQkWY8Zu2
GVbSJ8gi0UFVHjgqm3M6Y0vFlV5kLv22FmqM6GVmWuznizovRkhY6mEUJdYxqkB9p34VsmzTBrLx
YNKmGbkOiYxgWBHX7SThR95YRTzgv1qKt0SHYtjXH6U5FS2pOBSB8xK1m2kkURud2qfa/GjIAOLG
YHGDPNKu4fAFUUU85IxuXRHoDTmF1zKuu77Fa2y6oKGggfyhqYbYlpjCMoTvBcyP5hnUrasc/gVT
nUC+q1c+ZFvpR+r3EkW1IBunLEzZQtFKxwOaSAbZYzO3gOd3zeybqrmjdqg0PYoFiiu3rwSKyHjg
3RjgxC4lrdcJSOrSUZ8W9dDq8eVUzZKaNq6KXtksiYBXTaiNPQWPQq60105Om9wLxv0tX/S42luE
lhYEmeEaEXG0fTdZcVs6JFiewjkHX7Atgse4gkpQdeHDIonv1IGLeSJvMZ+XXh1ZO2Xu2mjAZWRT
mS5CTewQEnOfQItAebIxdgHdptNM1rDEKJqdHRMoFDFXELaXbDqvddd3axyaagKkFWkVomQuC9Tt
GGr66Z1Abb0UacYyB+iylaYNr433KhpiSBokSH9tw5PWvHE6F+eqLSU4BFM0AqA8gCQMmm8Zy0BB
i+kV/Ph0NJoSYtFbI5taoF3QQNpdPAYkWhyHLrcSlkHqmsRTHY36NvTBqhsHxLXZtiXPeVzk+XTD
l5JX6VJO2a5kIz0tEV33bZjH0yHk9qUMgiSz5sVRln2DEs/GcJvBoT5lObddDNZXvKuCa17nqLTp
rHHWxKqh/Q5rLJOJGH6mHHprazBHMzlxLqbSpZIVBWgXRWFbyZltKlsOl2vV9GgDJ7ffqAXRBk6s
aB8KN9wQzNxZYFF+1o5dv+Edm5OhY/npaAedFnpS19IVPqlLV74vO5+lTeHyeGHGpDzT/qBW0m6X
zGQhNo4z+Gq1mIRVAO0m+Mq9ipbiXZjtsCNLkb33um529YybNV50xbdFheyNY4KscZMj38URtfnd
NK/qvokMjzUd2ttJkXKDSI8OAEuKMrbAQM9Zz6Gb0XdwHaWS2TWKeNnHRU/1e9zmbISq0+GXI6mK
cusWE21w1/Yvu5H1+ydXkHbLPBxoFwCk83ZSSSZ1VqjX5Uj0sodYNzx0hFV4YwfXhyQv2wIgMlwh
e1Q9l20aZVE4tJpbnjLcV9fzSOuE89ae8a7HPslUYe9R1bnzWTJ01gn8dEIzXrqY5eN0mMMwXyBZ
j3vV2uhQ1rQgqQLv9x5PEzXAZRTUcT3kGm8m56dHH0VzQkq83nddZUmsMwcpxbp2cHKLBnhghIF9
pm4F4HUQQw58DWFXHhcswRG3bk5G4Fn0ABcXGncIsw9b4gZyxpt2jivKX/FpeUBDlh0ZBvMZu6FP
W+lRGedzO8qUL5ZumOzN0RUsvFncPG4rRIYeYM9Q13NdJ7LMuQP+R9n9OHgbA7c3OztPNCao7a9n
bOrrrlj6Oqn7Pr/zxeJfh9m1JPbzMENPJrgqrmB9NIYaI6vB8OZiTdispitNuqJJzDpW91Xr1jjK
UfsK7uz52LkRX2vL1N6RoJIhoOzASsPuOyXm82rFYYSijw0wadbH2QD4asmH/FyoCJpODa71fYig
X50q73wV86rzV2IS9RYcvRCJLld52mNbXDnb+g2dinBHrHG7cZjxrnKjuA80u5uqtbpbfbuqnXds
iSvf5o8LCGRX9HIYNhZY900fNM/iwPxyhuu8j1Exjnuha7fzUgMByAEt3EFjRr+js6O3Vcjsu3Ed
18cBDng6SksuWFbRHYJIkfrZ9zcttVHMJzOeR6Gr364A2ne0wRnwqGFlx2JBDGLZDB4JVaWKIGrX
4lQilkFFbKpdzYdw1y3A2qZqJAeMDN1WgnZvGpf5K20K6JQsjb5p27Ce5V3lAceBy40r0wK0YKg/
hIFNV6bLwm1Qij3QegTnQPwyHtnSgvF4Ol1i2g9nc5DTvpxmamM7KLPLALGlhRdPXSnwefs1Ctl5
lhXheiWquFPgt98Al+pvIeDnp2Bs8mLFEdR2qwDyD2TgvJwaTJO+1U2q1sVQOO/BbNc8sldAK4or
aDs5n2jXoG2YKv/G9QPL44yv63nQbDgDUFZDU7C1tzlddQs+u503VNbqFNs5T0a3sksFnctdMYTo
fZQRFdD5wtla6mRpZ0xUKgdgxeq85nSU/QbBZUXAj4122fkUufxKD7g5RkDOXjV9uIcxedz1JX7V
tZDBVNBZOc666kTMHS4P2jrydoiyYUqaAvo0yyiHu5KMo98VBNhQogssz1hmg9pq1Bp9aAvlUjt3
QH7GtphSpddWxtXa6zFuaWaONuoQPlsiL0HWAnhvOPd6nJotngOeoIfl20s6s+haGl26RMyhsJtC
u/Cyysux3YTGLsVZW9a2TKNg+LJbsgxH0B7uuvXlokwYit1T6oFS7Wf4nxQ1SM1OeX2ouYL2dYIl
ZC4Jb4dsvKiboeoSOuD8dpKAfhKLGnFu+inD6YQhRTzrBRf9K14WQHDAjwTXcwGJU26iPDsdeyGB
9MzIVLcrXTIyxsvskR4AduYe7RUrxmXnm8WEtBg7PtzoKK+hMUbyRoc4RFkOLCpier4paaSBohes
ubYLjtbdJOhSJUh6gs4nXc0mIcEjeSEbcKepBXidWrOWh4r00HDCsj4AA5276rJZIqFXCuI3aG5T
jEhbj3W8OMLby75nlerTRVSiIbEBPg72oNbOJwMG/r9heGiK87pwlYhb44CKrf3sTUzbZb0Rcqjq
U1Mybjf5xKeLuoTSOa3mcj6lOcMqFQoVMu5EFTA0YYOrYzdwuUCLcl5uRU/6Y8T1LJO2ylgXS1bT
kCxLLl5hF4X3o4bUhAa3kJ21GaabfCzIQKCrMRcRNJS7aOjEFMtCvFwiZiUkZoNayiYBT9rDByyK
yrl8ACfkldgUrnExzz2e9aZuAQkXG0cAy/ILHI1iuKuUabPTyisGfd/x7boW+V1euLe5dryKoUxo
b6ZJVpsM6PsOQfBA4CREuBFKrmfNQpojNDGH7VgEnTjvVhdLQZGL25a3NwAZRRoAccUA2ABahrFv
H/o8W7fSNk3sc2jEuBriSoLnbvLpCsGGXemuoDeShxDSclRPvQDo2QFLzsvpPbauvnbedGrTSZmf
Qxfc3gy+6/PNMOfAiYVpcxlH7az3ra18SoxvtrXP+I2pEXSc+8Ke1RmPLkg9szPixJjArQ6U1BrK
opSQbLw3gxx260ygGYQkBOEUQRcJmC4W9tjVCvrMLgCT1d2E5sTXeZUw0Y3Q/8BtBkShjcyw7wRs
brPYCN+sGfz/jox0jd9VUTGmAYwSmOpShyNEeQj+pQDQWVaQX8ASspcQdcrtILVIBuOKV1WZ47eC
o3kLHXO9s0i3W+lkdRVVKEB7UxSvkWnvmgpBJQWF21aSrHpjJ9LbmNP/x92ZNWeNbGv6F2mHptRw
2dI32BjbYIMLuMnAUKV5TmVK+vX9CFO94as+ELvPxYnoHTvKgScpp5VrvcNy1330bDm+ml1PLokc
lzJKi3r2X8neZdCZLU9+segU4bF3X1KWvNLGKb5UuRd+qmTmfKgcz7zWTusdRD90196arU9dWMMj
E9MWYPbSHm4DKT3yVoLjvgn9L37VUIitbbPf2os7PXc6sopjHRQFN1RDyXLdihZaZxqLRR1UvXUU
AqEpndSriSNJYBWluK37yX3O81xViVvzDklZh3mUVvzeFEqPPZGvvbhugtkND5TwukYIwfX9qgFK
/qOnasvTqvc8+xMXrxmT2IqMvrJUFRxUX1pXSILc90Hp5ycw/AoyAQnPvRBL+TzrqOd6oPI8dbN0
W2BJ4b2eRDTe9OvmoJbISGleL9PcP1euWgo4v5HEttD18kWplbPCoaROm3vh+V+1ifliXGp9bEvt
vUI7kUku12UjmQ+F/tP3Yi1PTZirGx8VDLUs6Yg61HKwxNEamjJL7U2LJzXV9cew10taTd50qG1r
sO9mEzqPiiovPklFDgfDavL6bEiqXhH9WnNchjwvSeViUk+EFlZ356EAstJZeqia1sYW/XHsdZsl
w9SziVI/b3L4TX3KdNAPcVOlZUWSNh73Mlanch0Kl5zaa+X2oZ3mtrp3O8dMB6oKWRHS4qCDKBid
OavXs2W7ZevfB7Mno6RyBijJ2g5Dq021FS2lPOHYrBb7tsq7oItTqu3F75N5y5tpTkMuXLEecod7
C+5accuvB0hQ2VQ3aySBdNJppgDr39QaGNNLlimb4/k0zv1QfMiyCt73YDgq8LQgdF47JnoZukCd
MnK19nrOZ6v5axqmRYtjXlVF0x7FsDrVo7RdK9Tn3ioL1R7G1bfs8k0JqMg6+FY3FbD/M9II1BvL
yPD/bKw4tJnHqWzXQ9zni/ggKHHzRwRvQfDJ6gPwA1XHwAyW68ilv0HGbFMJC+I4lTDncAu/Zr60
l+AcNtbGeRucKS4+zr3JrTxpI7NuFpWtLE3AFUE4Vk9zDqAQvVYklMsdog979dM5m+ahOm+F7bJa
XHllVz57EeRxcxC1mtf2xpsZ3pZgM3bdKQ3E5DXy0VOiL4Jj0A154b2y53lYO3nwCkWOQ+2QDae+
j0risaW6A8xVduvmVA1IYGIi5hqjxlKRfy5U2Kxrf8p97XpDkbZkI7Xxj1m7+EV97I3xuxjsoO3g
xkn9oqO06kDqRGkZ93Pi+EPsH8N18/zz6I7NUx/N9Xtr6yaVuB2AdOLPnJ2jE+TNV7utyLJmAY1c
HbtgivODHt02XJLNHdRbQMR5PZZq6l/FRabhQ4W+8oa5eN3Z0ksrN5hvS2ddGzi7Rl0rHdtnDxT5
sYwXE14PpHBh4rX96idLa6r2PCrbTdUS9QbCz9bV136zZUVo9RuJxiny54PytvVhKix0aJmx6iMZ
KBWiLHshzmPgq+Ygm2h5tja5wNU5mRmch6hCKHbATd9+Ge04HNEQakqDdrM01chYOvmRdGKcruZc
VPprhsIAxIWM2oXHrvLsBHarpXVqZieK38/uELeptP2uO/qrPV05Uxd+rHXtA1iG0s26FECxEFSo
4TrdNVFgzwfXFrP6MG1mzFicXjZ52jox/Gs7O+6N7wNu3SGA9JvEH8jDb5d+9pfEeFV4DKugRhoy
dcm0zSId+0jf9c06pO46T4eoRUkDE67y82ajQ9nCJbMSb4mGq6GvhzKdAcyet1KP7A0Zv50tu2Oc
yBcCp1/erCz2wY9lFB/LuTN/wmOTFFRln722CMPTJ4pLk78Ny2bcsy7PLa7IYIJXox+K4pkQ6aE0
1X750BlP3i6NlX3NRmdnSc22XCkpZ5CRbSuWpC9s8z5axPzGjHXOEIC2h8SETUc0DZs8WSoRPzjA
hyHaiM5cI4Lyi4PxsuIP4/lwC6Ka/KvWL8t0MKN4HGTWnZTb2h+CcXLQ+izbASHE9uh707YmfiRW
5GuuWxzcGZkkFUrbT0lc6FhfZ8HYEebbDWlTJlExRiauYeBHquG0b8PVPbm7hzGxPciGQ6Y9Tei1
GgkKgzoRhZOXTQNJQbtOtwhx5teZ6+joYIusD0+lqvt3ZgmVc1pVyygb5ESf/DGPsqQhAb8frD3j
nSI/gsC31hW9aSVjk7TVUOQHLnQ0OTVwyZutAQFItqDvg2Olt3I9eHZTHLdh4WcyRCXX2WI3/UF7
/V9mytujK6clNUqsH0Oihb5B3Dj2h3rQ0cMkRmhtZQkxUBAUoECN2916tXRvoryuwucYVrlJRkfG
N5aVu89wt9WrxeqnN14zlalTRO7noVVzi+42jNe0EFMJ3mz8YkV3spZTUo+Rksc5L6Ka+Dt69U3p
uKs4qcCIJzjIfrkDuapQu/hdsyZ13zgfkWRma9IgTL7rZDzZx9CIlaIgdkeuTGmL5tg4Zf6uEsto
Uu5Nsjry80PujUO0z1twbzwDDO25nbyL6sb7MKwj+gg91x+9qek+jKrrEtwpYI+KYxPFmWbL1+PH
zDJ2Rm61WAhNN+d2nLcmncBdPrXZbF2PJYf6MBZVeK9m1b1SYmhSKvLqNbhAeGVJO3oCMS5CtkEW
PPfuhkTOt6cHPa7udTV1yk1LHZk9W7ObaxG3QDzhNEVXk5e3wQHlCIlTU8TLuRWurh9g0IrDCLh1
GNnqfjqgcj2Svjg37drlaFmM8yGX6/IhlspJ+mm2D9kmqmMT1fIvKDH74AtfvY9I98+OL53nLtO7
aFauAu6diXM968PY+NHtMljFGUkepy6aP3dNp970s73KJFKd7XAOtjcxwmEyGgehAvfB2FJmTN4B
8vsGFM16bQZ3/KME7DhEC4XKgHB9S5bc6Z6sqPYfy9xDEeuD6l/3feuILilNXXnel3UG/R+PVQ8e
ND5zQSFfPcSRJ9fwAxVt1/QPoz91vrhH8jMQ5acoigdorAFONE+I6mUzwDWUvdfd++s6xchl3WWB
WPA6e1H5tT3nTbldR7Jc1XtZLEZ8Ea3fVVdlFzXKT6U/ov47RFr4ZiR4VXHwKWwaS12XsVME9kGr
wdlIGyOUiemIIN1erud1AcVMAljOk++3JvoUtK0iqAx9VS81cUzktjiQ57UNKOkaZNlxGPys09dL
RRpfnpYVfpRDA8Hvi2TVed/9ae9S9OkQAOuHGSJis1Z5jiQkqyDu+gy5tpuyBwdokKzMNnt4q71I
UcIU3oJk6KmLjNTlwWwiou5zA4SB5V1ZdohzD5NByO8c7d6b0TPO1aadNeG39MWams4nJUu2Picy
XEk4zjJOQaz3kfhBZiPVzrNFh8Mfs5VtrkgKGVV8DVdLGCw3lpoomG/KdZJ1kC52HIX6N9zmz9Qq
rGEIoQl1CDGHr8DeSfMfqVWgskjZyGr+bLp+JzR0IXrKHpRl4+RTnub+PKZK24vlpnlRQtH95gV+
Vo/sL4AVAD8bxipYQkihn1+gECtym6xAe/XyAg37hP3XVDGOijMCvKn+jVhmJ0L/TUf6oe3tShnI
9t35uxP4Pz9xyQvLzUfP+hpY485DZts3HrCOfMXI21GR51bClgrv1f8RJvyexd6fi6CEi1DYLgft
8rn9vHZhZ3nR12yFnQ9IvPp6+pD7lGaoR+CAivtW0rEIliHvXDf4zbCxp10Me19jCOLYF/g4wwt+
OBO6sOwl975aYR0OXiqMHYjPSA44kN1WhPVdAcbv3HrVsM6P1WTbqOaROdVMyq8n4uclZwGEy4LT
ugPAjdnwLhZABYVdrlUrv8h4a8V47oa+kevRks0eZNZo3IPMrx/5z8HT4AhPscA6Yu/emZ/XPA9z
WZerPX71A4Me4rQ6weZUJzEayKhjEUnouHFm1lE4BpyZT2j69RgfddHZvfnNRnAuNB9MQGzvJmdo
Hg/hSXTxNlm8lSLulfWcFyM10hXRdJcONEuX0x1pNqWPrLBoQM77ZEFJx1uJws7nx6YPEDK3Fkj0
Y4xenuIcBnx0HxpdtNPzr+dsP3k/nhNsqMQD2xdOiNrFCy5Dg5Eg0sO2PC8QkGwCe65sJsuGcYGa
XkaPGrB3q52uBmbt9g8FBp3/dLLoUIXK1LODGHUb+uOL14DJndQ6Bd1zWwsLtUuJzgMSWq82dfSN
JwUKGcrlsfrclALlHYl7MzriKrJKC7B0yNGl7BqZNeen2mKr9Q1ac9iW3wkwLveYs09SiMUsclnh
f2jGFg//Eu4l73mSbgDXv9dr9QyjoIq+Tc2wDrycFTaarwH6Nt16iKpttR5N38vrKYaGztJmo7q4
adCPKZm0MSJ/lVIXWvVD0MQZaZPrxQu3lWuVq9NinYhrfmsF2QAI8uv1v1CUEKkCyqwgDmz8yAH9
Xy4iBjuzHXSr+08hNCRMdm/D6A8JtQY5Z+ps4a5/IJ/YVRQ1eBxfm7+Fkx5dOl9ajPKC4TQb7/cH
2r+M4lyyyLYEen4uDQLJxbaAEZyoErr+Uz9yimDOQDX9W9fJvfXGm+aV6YgB07anhmxgDZM5H82Q
pwR8EzxkwyatKzK0cnsadyj6LiqCXUq1+Lqp43M1i315uglIC7x9h7ce+rGstqetDip4Hbuud3lP
weyzQF0b53zSQ9W3PWHjWFg7T5AWSUpJO1PRoQebmE6g7vvaVaDASLGGb4+Powy9dxJ1S8mv6NBu
8OaF1e4qKtWLpvq8TEE79KdYj46m5uo29XocK/jwum5Gl0w5k81ylfnIkD62USv9J0p6h00WYhoo
/9KobxBz/XpvXIZwZj8E3iJlwHMjvEuxEVlkmzlwX582B8UpuLaL4nlKTFd29bU3D4ZA8esnXkYj
NyQWuRCz6Pe4uy+fOI32lJvGMx89inM2o5n9Pfy5aJjYfoEe0DxBXoKXwMnM2DNuwxeJxq9fYzeV
/hQVEdgGZCTobV3b9f8htd086AP4neap8dtGeYnqZmH9Cdg0EI1ySl3nOMqwK97oKcqIOH0uuuyY
RcrVXYKj1NRARG423NQyCh4Xb6yjNZmME+gHFVkoSgexLd0NmwgsvIRK3Rl9GTj7YSfz1Q+dxufh
XcuyUvvJ11hj72nbEPYr9qbRW/T51yN2LuIaMusIde8+akbroZ78+e6sAom0fJjC93pubeR+kBou
cj+97fvWJ8nyr3LHwNSALMQ7FpupbxpAi+JhPxVzic7oUS7BvqXdoUAzc1X0lEiEyGGDQjwNte5J
vTexIrw9yN2cCUe/Rg2nM3QGjtGvh+T+rJVDJi0ihHLI4AQr6Dj2RdI5oFfacDG57yOVe5wt1Wf7
CyjLm/ej++0c0ztm5d1kvuxHnFi5h5SxR/z72codBI8ORiE+1Q3VVH2u4zL0r+CM93kYVtiBOzks
fFeRe/sQ16wJplNlhaN36qNRe1O6cl8w3N8M7eeEfh9a7NCIy+Go2ALH9MXQFARLWM+4fT1qUqZf
jQNba6u3ovui7KiCB1hVh+0xdNv9fmyszmFBlqCps/W4NQEOglPsWbN5T5Y6Mh0wZx67DwMj0aQt
rJgt5pu636PbTNi8KlzKAvBEMhIeWChp8y/UqA5TgVSGqVAqBG5NBRwtRyKP3ZJ/vczPHgqrz7+e
hIszGpEukF2FLhJxmiz+I9V1zOYHazBY73QTdkSHl/QWx8aiqxQNLvXOby5/9+I62h/peyT2NtcS
OrVLiapddqSQ/RLi13TYIVAYig3F3c/8+GXvd+IojQWbngS1h/rtqtayJWUh6DFLZlxqzH7BRDEN
/+FHBAMOpH6AIue7gPs4+Gppuai+L1s2mJapXOqo5axwivblyKplXwjA/r2gjdcSeZ4N6MCbCFiB
7akKYF5/p87144t8lsHvlwBBwsGh/8+KinRwQjADLwyQHuAMV3PlYewxtizvUF5hVjkO+Rj0URK7
blzmyTgOxfDKrmdvEUlPtmPdjFlj+bfgtaEH7IhC4gtiJfvKyNkPDlXYdvVXv6y38aHpgoaWrRBY
5t7XGMG2Q1S2sehRuHn+NJ+MESC345DLpUuCxm6c1549OvEBCD920nJRM56mDuR2KxPc6xiF0gz7
JIdBb6PBUbBYosS+hK9y9h+DWq0+1NXizGY+97HJHUn+JjOA9hxZZZ2GW222DQEwW7EHhliBLeGg
yuCksctDOjZ4Ut6ZoHOLp9mvM9gIX7lOulKfdiueYDXFh7hwTZVm8BFXlMnqMHS2wX4ft7Z9doyT
u6fMmqLcPvZV1/jvV6GzynofA8Us7xa0serWmlRrPXBjhPNXMQbB+H4LddZ2yJM6J5/exstWV2dZ
oAM/bQiami6Jq85z8zSETxuiZ6eBSP+au+gklwNbZR3+jGdlDBxrbSanBGZuBxEdqANEHZxlAzl5
h1bQqqozFBvscP5nHrWeYpYXx8M0cbt5nWZLo5Ka+vwtrVVUYB/b1u/78HqOZZHXr1uxVAh2S50p
o18bgX2/OEnknbN4kC3cy/XObmbRib0SeMgQ9LbzTfUUFTiFMssPQK1yOQLaXptssvLibIqG2wY6
HI5mPei+mMWHzpohiK7ZHAZHqgFpRYk992RdcaJWL1qC+9oNQz6ol09aRVHzNZt2EDwO3sYfnrd5
iF39qgxGGMYrZ7GsMEzXUlRzeEaZ7GCfFr7e70XUuwXDyTzBpfJ5kStdZdJS5LHI7lfTmz58U0oL
rO4UVp7l9tfVvMaRvg/QyhVxMuAtJXCFoxJ59RRmUlob7EU9MVPWOhCyb4naQy5uLE+OYf3awRvj
1G/K0kAsHNHkmik7/i0R9tz9lVYNcuke6VGxFsPBRrMwRodWIWxsP7gZbNMA8lnHEC9ZNAzpSB3M
zLrRXHCDpPBU+y/h/UlZkoEeABTpfj4x+hQTeusFpzI3+4x5tar40E25sh7bJtxDvq9VFoVpbFTH
Btjg64KzimlHECf9y1Bz5JZM31DukBF3yYTLOqlzhyKTJgP78ji9n7viD6de9nlu/bgEvLNma2Qp
rBZJlv8napGYimMsCjKt1ETOGg5pEeVitlhBfx7mJ1W2c9EyX1a+dWivNt9ZbqMy3F+5YKV7xDHs
LJ7g8aXhWVq4wtUhGK195WE5+VwdI11UB63pCYgYQEWD4R00zX8Y4/fxjKPnDc9YE3I+J9AeB4+V
8LGjp76JAYCSPkTnbh+/7x65TTv6GpbWPjgo8G+TMbNrxvR7jhsLzNz8y5tEdevZxWg9fp9q6+Xb
/57kl+8DKXCr29BFQhamTotq47nCjF+M56L1VgY9uBudstFbwPzYjxTgWRcn4mWhug1wFqRUrWiJ
r2HQVkBZp0IDFdzH+NiZJe02Nd+CW9jhrYA5pI6Tyl73pDfD+s0nAVvtAbrj2wx2PSeIuPYyptwt
qNHSvmsD41wBVu/Vuf2ytC/bA4VmzfwEMCh8EGG9D36hvwb7NHOg90gk/Dzgk2uHmip/v1kF4iF0
3Lm3T+/LRtrmdeYtGeT+W5xihBqkNgvpVQDPm++v/jKh1oaHdqRfr9f5WGRt0VblNZBsuPTnbEe0
7KMpYO706xeRfT8Z1rfQSNOfnSBr2T5IK5p98KMm2b2fcGnsv9DV+wdfZxEf6tbej0Ozif392znI
cvN+rrM6K05thhHhEaujQ2OPalpDR914L3ulKKdYhefvU44GY+R1lhc1PjdAx8PLvqi457WDgtF+
T+ZWRvrQD5Zqi9SeMsnDRZmjUkCp0oNt1gAGQDYvevSwg97CkcH9yueqdQ7K6FSRLC7rK9q51Et3
pfzOpg1AHfs1fTDklAEbIhSf+f4c3QYfSBpFfdcMM/9dcUUEn4RtHKCiAddTfafRXgAKGBrC8JM5
iP1T0MqFKkCu27730ZcEO37vwXigRB/zeo6OdcMV2xwXq4Wzgtrhqlo+ovIviTd4LrqquvpuvIEM
zMfyNOc19e6X1Z/oDHnVlznTcfa+nZmho28Gy44wU9L2I486o96jIM1NcIV8Zx/6EmcTU+Qhl6sY
UZWZSRyDzd6F/Aoyja85S7/vGvCqfYu/4KfRVBl+2pndfbyqKFw+jGxwvn8ogEKtpKg3cOXYd6s2
xoRerEFz60HG8R0BSg02tRbzBKL2ArJsjqgxb8wtFg73OpPDxu+gL8YOvUnKclDDQfgVeCkuCkrf
pqF2alNVA0yIG3jQ/Twp3xTYlbIqUoRKL5DwdXe0XYiZZmq9ffLmwtuhAneOaGTzpqzhCCGe1ppR
fjSkZ9J6ZeQ0jsVd7JU7SIk9hPATVtILECYAY63yuMgSFf4pML2opwPQhRP46OMpcD/5GY2bkAJx
V7P4m+VvjAp9235tNELuc446wmHzvcxkqRBm3XkFnn/9Cr6lkeHbapuN9TiSTIMqbEh5gk/EW/aX
ZfqNGSh9ex8DJg06v5woL3eUqkY3smMBcdOZ/lMQr/ngPPtLHdR3AT7cFc2YixbD+gt5cLlISKTY
q0Uy1eDfVhrVTjg+gUiaSr2zs6HMMvwcq5cvDyYktxm+xrrQA3YjiUEFDweGoSZOLXebqqfNn12/
S2ZuB3Q1ynE6csowFOh1Z3Z5U8a09OCTKHOS0ODhWw7fR/KylkOP2lug9qdtB8P65un5bjqKUViy
68j+98NbTM3+HWhHmTNZfnMOCce2+A4kbvs3Sg90ojlSue/cRlHLnqOckS3Kuw2LeX9EyLbTfbzV
/pXvW/a7mUiE+5de8PA9nFpZOi70hAkTxx3t6M2ch5npEmO3oOf+usnYvTZDu5/yzNp2OHDCUccH
fPJEC6w37G/fhn+4A7fc35yOSfwoTbf2B4kx5kqDMGWxXyq2tihpGoUcHJHG2+olYKHz3X/zEDk7
GI3RegchpzEYff/QZM3QyQTZNyIlmlTsTJYy+B31q8LN9jQu9xeeEep6f63524Gzuop7BOH2N7dO
7+6GzAOKqH1PhnJzqyIR+QTbeMzLejdUvUwIOPAe9Koo2F1Y/uRY5U3uenUY/Qb4uijowXKID+xg
dBBwdf+AlXMFhwBe7T7mXRfw1mGWLZwG0xFmB8vfT1D9wpnpYtjf/de19I6j/sAC7I+HnkOb+dL/
+xJnxUbSWWYKgapeQmMJBrzPP+xOTVvVXxFkF0ATp8nGCMGzgKz4b7CX9T/YPE1UDYhinPbvPWJX
S9elQy99/54Wb/uOj4N8X9S5KFnhDrki5+R7cPz1u/wMIQgb1zf/h5MMQo+2qJ7787tI7bnAt2X2
uDOnwaeCrmqEaDQFoXfcOlLn383zPx+IRRLgIIjoUsdaX4DtVT7aTt3Y8uFFaJdV3PjX4Tc74feT
/esBOjts9++F3UcIdmuLECOB60BHXTxwqUs/a1UdPHyPGAZdPEdpRawuxGnxpwgHTi+38e1s0K8f
mrnd4/k3W6lF3wsuot+80c87nTeilIpiLi/cKHDzl7TYGtuWCVdveKhfDpUhr+OMLzPak+FURLpg
CSCkV05m7HE5kFpY+f4iiBSGeUv1QGV/ErhWBFc5oWXFHtkPfDvApHTuitWjnkzNC5/Vv4TZXw/i
chlZON/2bJoUAsk60SXLyr07KHex9F0+VXtk2r4lQv0k2vntakWzT+PuX52Z/9vzhM1C7v8LguAC
nA0XshE3sue779feQq+MMrE7ImuHl7DI/iNoTdhA/g6tmzkY+IzpeX5Bu3jYKZxWFyXXzW41JUne
VyOsas5FOw17HP/1AH+OP+CzMfSTzwnEue+DaF7gmYhFl2JEfHMVttZYiRQFSeh9CkYOzO+O4D8f
xdIhQqCRO5V+eDm2RrrNOmdBdvWSitB3ZSc1F3fYheDfRvUfdXP4r5ow/NiD4b/V8uF/rpvDT11q
f+zm4CA++GH9/9HO4X/BkHUte/LfDURffuR7JwfHpocr2wDMJYSK4KL4u5MDf8nI/xf6huAlpMGM
ErL/bgca/ovNagP689cQ9q/wDtjGv7UHpcsDZmvUqB7hnuDznzRzAKy8CKpxROnoxLALNu/zj6Da
DOE0LVVgwBd6qIAAvSM99dokEkFn39CXKIKwK4dQbfO5ooBu7D+wBSMfqtq+md65ja+2MSFEAtTU
I+5cU6ahhv6LHosAWWUAG1y2hTOnvVnwSfiQzg3a5Hi9Ki1jLNSuXM+Nvkas3EwaSSMyQtXftvVK
0zatiwhlZtS3r+lVtbzqrEbb12URrLerL+W70ht66ufggzV1+mw6He64J9gkfa5e01qmODflMjuJ
EJX7Lg+KrU2LnNw8iRuDhg1aIz5SFQ/mUI9bBvhaB8vDhtb8s9276ItpuapvETKgwXdzZWa8NHNB
XyEvs+tzu2gaiGn4sIOIu+I6aLIhvItjpct0Wm3AdMtCXxj0qzqrsdIzDYUAX/PGr656OZpTuY3h
hkK35RejXpVL2mip710h24/KrM6DoQuDPneqBC+cJp0lGf6kJZ2ydUumqhkPpRj0B8q89UluXRik
Yzb0y/XSkX+hjQY4hImzZ/cDWpIBpNKpz5MbjDitKn2kd+TgJJMzvjbArbtPGts7bEHeJ0VlxHUg
p/CJrlzLa1eZeDoXJWjIKad4qBPNVj/APa322yGojq6y2ubsqVqmAb2nsN+VKiTZL0srFRq3bILU
ZewO9ozADfNPc0XWm9NXStMiyTXGHI0qu5SWDzo7ra6ymeis70XqTLX5K5SF/XkjnzlVgtN4qmQx
Hknh18/N3kT3BConznO39I9OO+Y34MD1h44+CImEVTZpb2UK8iLP7IM7hvfUnSM9pnJ5xNwH2IbS
zWHTOIujj1lGG6RV4yHKwzG+X8SAE1WOczoj2HuVx3IJk85rKiB2D2evyOf6q11a3TWJl3utGmzQ
tHSRnzgNmGyBV+Nn2dAxK6Hnkq7OmRrcd5K+R9dmbGjhWCNXTeJWTo8Icr/YRlgHTevPAzIW5Lac
gOK6CxHIUxstOk6zIHJeN0Htv6pyEX0k5XDPesoDmYhpc5yD0HTymdzG8g6THN5hPR/vhsjenmvV
yAOg0vo0F31zJTdaR6SWZcdl0ltIU3VvTfdrt7R3gwCPhSEuyyJx9d7UD5HCwcll9z7IaJtorLi9
xhuZ/aGG3SeNqLd+qPzeTacN1y5Gs7Pq6I0xhtKfQZYr+63IhzldwfvjU9f6LsIBelDKm2+Whpn2
n/djI2NKFLv+s3Wq9XqIURQte06glzVOWqm+lHbhH8C/TCowtF3tkG/a+e7nxax/ADqItK2yeDnE
2g3H6jB49Nqo4bGHvJ+DN2bC6chjwRzmdfx/uBX/P+5x9F/eioKGyb+6FX/8s23/vhhffurvi5Hb
D0rFF9xuLtI6wS/83iCbv03zLy4/0kPf/iafgA3/fjHyN1JsB2Hc/tcEONtkdv++GGmMBPPv8+eD
Xq5N5z+5GS+0RBhSaJzjAnhQTtnQ03sW8GNtpyCC+mGel7vWeMjqDBp1zj6we1qFRr8NLLG+Khfd
VkfbrtRH1fn6feVPCxhC3A5//DB7b16KnB/7CTmXlca3LD3ekzyY2gju/ue38du1r+J81nd0EXPu
6KPdymQOO6x2tKQDBdfGnz+GHOQiGZtIDSmFNRccIH3oA3WH7ddYKfue35FjOalr5z3FSOSc10DI
Px04guX06zd2L3LTff52lpXiEDTEJr24eOMC0yAglrqDBcuyQwCX9177VO8nRRtpgRxucUp6L+NO
28IA08Ja2d65QSHvYNbs1Nd8mSYnLaxeHDCJd+BSTW6DP42iAh7vyvxNNeP5xno0Hag24qcpH27g
/WioSxeo4LYYc92cfz2qfy4D4l87ZCEC9gaU/c+DClcLaxEi2DvEbvFTl0WOm9B8ka3Rt/Pyxixj
/NhLp/7w68de1kwYhCljQv44EHuR/+yv9QPOgA018/spa+/aaHPuYDXmO1rrwBPJ/OnXT9qLkx9r
7P1JMaKAHSOAF48u9lnPrboNXIx3NFLxP0Nr0/tXqmh1aQ6dH+0BwD317DXqUmg/0/xu01yW+IwS
kZKgcRV/b5LocPF4iqoCqQO9FMKhEsgjZ/G54i+11WeotumINaejgTBLf/7f7J3JcuNWuq1f5cSd
w4GNHoM7IcCeVEMppVROEHI26NuNbuPpzweVq8pO13FF3ek9EZ44UhJJAAT+Zq1vTUULHbnNa/c7
3j62pL6yLrNjdnpgThm++wz2zSezQ7UTJp5S3xttbEJdAwgQUKxZ3QEy4DL8m9ZP/PlE0UBz26D1
Q86BSv2PJ0p3Bruy7Ui7iiEq39Nuhe4KLe8rC40OCrQTWNX8VxYrUFCWlgE0cvs0wCDk/ujdZakD
lcQu5ohs/J4ytvw22k3i/hsqP3OJn08yyg8uojWkkIU99f8f36XTeanODsK8UtE1ke+FvZ8s+3Un
7+/6cRgYmrb641gqe0DZnYDEFxWFY9fsi/VRnxdteWtgtc0Q16f4dcrK+kiF028aCqZPECy8MGKq
GgwfdQQ+RmqKKJPV3bQWGu1acsSxoPrAi0clAia6PEA6KG5GFj/EkCvmTTG47V1PFdN/1DPOWtqI
VBncG6xhWTb65GWXYi2DqG+tU7KWRstHlTTpCf4Srvn0CLmZOmpaSyqxFldLNn9tJJSQgZEuI+Sy
d3eRbIcjinbjuUUThtrA1ajXliSPfvU/qri0arUvw1raNY3EvAPq5Chav/iWjo3D934tB9OPynBc
i0SA7pQ7a+EoSJW6bycYGrhJ2p34qDALxlugNCYW1sG4FqGlNClHG/8+iVCkhIze+wOPGmMKWLzR
jfVu8Xku9eRsdH7zZOMV3Q9+phlUTOXy7jl1t5X6nC27MffinYYI7x1Zw/QDOBn18/JRS1cfdfW8
ltjmWmyrj7q7W0vwojfLQ8WPMqhcK3Rqc6r17KNyd6MJ6NpHPQ+XOQrMjyq/o96P15HW47Q2AelH
P5B99AbmR58wm+58cbD2FRGDuLYvyw2cBDAU3xJYk8byJidwn9j6/I5bef3VUGXWmx0u42Fo9Ls+
76F9YRttlz1gsz6CEJUiKcyMon7SUfAeM2WS3YCwYY10gHgxc7qgjoRVFPE87Avm7ls0r7EeAD8W
0X1C2AHMn1y5UxKqufD7iyN7kytqimohp2DgWbhztCSL7ke+Ok4ctJD0ueBMJLu7qkg7AK8tDy8W
R3ADAi1ig4xTJ6IJAQMXsWVM/GGKdnCpi3IrI6qCnV3F5RJ4i80dszJgCQdl0mm0TlLF8gGfKvP5
Ok69H9owuqke6rXRg8XyQOvbVKzRqTLd3rWzoJplu6iDpDXrwEjEicuKRY4LwNZOVulOFU6pDrqU
ZRPYBta8wEXnV4CJbwEtc1qNV60pFxEysMppUPJS1+4BF2hwigg4eM3K0i+PZuf3xTZneH9bht4E
e4PJVZyTKZEwdt2E9ncfdWNTPfEwNk94jox8NzS8g23dF/Gy9cS8YBXKVDNdSw+y1Vbjq9LBTBPD
qYNlWYRxBE45dJnG0WK6kvqkglS4fMf+5TuQDXqoD0jNkvYoqPgPeGxyJwAr1pphWqdRuAxRjl9t
6hofLQqmg8BkgbBgEcwW7axHhbUTTQTbxyXpotkKBPT1MUnFFG9z30poCfi5jfAxFnL5xAxW5ynF
jg1JQPvS4aRTbD35Hhl3YkF3n4JAtjTzWRXoc++chlAOQiTa/moPFY+kGCEvv+Bjbzd3CINE9YbE
q0pOLWKJeScne0nPaBP7Zysz7Hd7jrAqe4KLlyUpBLqtdBZmCViHM0h9JqLMANPWNkUY81ZME5VF
Fmfjk7Sd6Vck4ybMgimOth5OH+gpXsTfsYsaaRRRFOIOKoRpPcreFs+ix/u/meAue0GPoGTesobP
0kMHXAPIjRtL4z7VXB+mdbtenFnWyr1byASSvLJ6L9DbdTiSTBVvrMbTIc48wfwXVLdc3SV3yS70
hD/T9ko/Mh6yDt7VzfAq3zrOVjYN137u1+KT5IcHO9eceVtPJS9d18uCbd8o+2Wv5+764de3PnF/
4n1h+byz7IpPMbRsUTdJXudL4OdAtoOmiPP0sUI3BM5koCqI+TfuqUZfJfetsBQuRLNJdE43ysTh
WmoJ4u5UH1oAHuxwzK1i97neNPgyBXwibiDgC9Y6ua/KF4AG/olpfeptkN7kXBdsLd+nCnc+tpFM
3cx+1uU5pszNmIkxQ37yeFrsZaWLu9aP2zeU4OQlsJZLjVPtxf5wRuqPm1R1bgt2hCXBHgAwejmg
OuprXsAenweJ4brFtpO/TsyO5AGQSfkDacF6D0nbIgnpAzxzm+IEkbsGO8WrpkflrpyamK2axW1O
dVNyS+ERnqFFZHZoG53BzrOwLZeAD8N/6bCUxFviAviaLFpk+kerqkX7veSGDJhacEltYVBxjWQ2
6IMdMIRxy0Nmas+iGwyHOIqC4I0iMUed0rvNvnQ+gD9NUaafFr/vxDeAc0qCXhXuCM/K4E/N4PDB
lE1Mpo8Np2UKNKyUSPjGsb/OysXmP8oWbbk8WCV2w8MyrfhBSDFy2TdFXtfXypmti9brFvyltirH
c4wGLQk8W5bJM5WI/KZDloRB6KZyJDVHTowJp9Ej5gVMxlMBeif9LGrSbMbNQgWmPjW9qfn8MdBc
THdwsJ60qJl+ZSykjeh+pJOTAaOLx5l5wbLvBqyVMLDXaV9q9Jn5MOfFYt+VTrMidJpRd66WYDkb
KKobuZ0g/gDL9CqQ9FiAS+4dUhZbMZtzF44FqCziMlqu/tyaYzdUkSIQB/q8075iahbPWcIYhK9D
6r9wrZfyofKZhuwGxEooH8oE9NA8vCFtQyK2yfPR/WTD2JnCCeqoBQStQIDbRlhyeLhzRW+b1ORs
0jgwvkvNPq8vbtck5gO8qMI5ojP1+VzzrMXXvNOaKSwl4I0N1djQX4si4v13aEl2MvHyBCClrh9V
a/G9V47jkh0VJe71o/H4j/YL/z9OUgymGX85SrnWVf/+xwXDb7/z90GKbv2iG+baadPmUnj8fsPg
sHzwdR2d6mqaNf65YbBYS9AU69yX1m09VOd/DFLWnGYHVT47ZN222aX/R4MUaw03/0NPaTs6vRz/
mdg4IRf81DQ3bJ+NKFLJvdsgvQsKeLJgyFBGBjbDY3Vw69ysdgNcO6aOqdlcY6PQggLe+DfEKkuN
gKA0mgC8Vzsfk6UtAQOx3/+6dIa/LavUszZW2agLvoaueE0Xq73UuJi+ZWY8+xsx5POw0fEMqrDU
xtHcp5pTf3JR+BtHCf5tPM1m2k3XDqb+FuoR0QkAthSiMie/opyyApq5foOQ8qIPquGbQW0YiKxa
YA6q7ss4GGwHjKQ4WuNMgI/KPPEdecJAhQiZbOfTpRto6Ss7AVmVpNdihGFBLAmggG7ojmNdZs2G
UJ/5cWy1vZENRlgb/utUzaD2NIa3DMYZzm6UWrLX2ZYN0DizCTGeXxJ86d1hZToy/51ygNzhUBcZ
on3X7GySPyqqXGIpOknMQJQvYsOZ5yjryyAeUlAkJwxlVKNsbZzzhK3yK0dEnVnlZxAMoUssR7YL
UrPObofifIWhbBprcpAYdh6T860xG9O1zqwitYqDS0AKyMSdQzLQKIIJ8GpvHrJ0TuqWrUXejIN7
Ji4MVfvCaB+jHJFh0K+yBExTTHkyHkUJbmskpQXErNNvZoHJMj/GHrLlJgSpY72hcxA3Caz0oWgR
an7zK7fJfviZkD8oyI3JvDMqaZfiyS0jsXP61AUdC5jD/dxMKHFIKfIRbZPhcHKqgSKBkXGUBAqj
xxE1bWUC+csfacNYMaRlRxGTT/dS4YHS05R1RjHndcgwLkY6JcTJy3J4dLG+7BYoW/u8Tu5ZpM2Y
IQYQJQB2jDCFrVwFRdvHJ492DswTEwrqWmTPB3K9xn6LvwKe1qx3O0JR5HttNMVXA9SASSSDdOwN
QjLIp14Eiinus86Eq+yLk6Td2lhmXJBAkWbiYFXDF/BRY78Kh+0HjSNokybRxF/iDuBqnFmUDrOt
7elxqtDl5a6EsdGnLmJ+rOpe7JMp97J7S0Tupmw9llK5oednEkUoYSZDjrg/YTeNk27f4ZnJjM3c
Fxbc0Gw5gaTSN0umE5MzJO+8R55a+Bh2KEXvnEQSk4Ir4oJBD//4nEdfki5hH1AukJ4y09rmbV6d
BuE2nzK53NmVaz+uV/Y9nAOd4Z5ZbZ1WXJcMnF+SNn3gmY298/BkdRyBRv9RC6Xf1wwGP0MxWM4g
IaZLPebFQRb06Cp14n2WsYGJUhltopbyAe+C3DcO87rY0sA3YLK5eLn7AvD7vjKzFlp25FxgI9hk
Q7TaIcvk9Gq39YTHDdPKBS2r8VbaimSuQS01vWShmzfHsAbivKT5Q3O9pAx6jsYuX7L+OPTFV9b4
ftClkfRQgasW8fHoWE+NOc1JYLhj/dXyVPyMkyMG95d39q99Waf7ypf4sJZGO5KiZgRkjKAiGcbi
iB2+PuUz6BEvy2AFjvQCJprcA7YDTFBNNXqbAeHpDjS54EIfevoRhsjPpALlQcHxeWZc/chlXd88
Q10wirCuAzdzYDqC9cUzW/cE7wh1Pxpa79vsVMmDX3jpYYzq6htNqw8LDc02hhhm+XD3LIAmujhG
Tnbry847KnP1ZXB1PwmtbsqNmJRB4JOJnaFfPnl6JujHbciBrtumd0BVuLMPuvmlLmIkx8mghfMk
rCycMf6/2ZB4QlM0y62e/TSw3G56pfAjMcTM6qtRNHB4Rnf+qs3VSMdj9j/ifNKC3G6XbV0Ac5+h
7X02qqW8X0Tq34+ztzyoyq53ooj7B6PrmnME9+XJFd2SB4T+5BixoLxvJbKed68ZutCah/qWwSHr
McMlZpCg6tpYNHk/gMrph2qs3DfT6BdmTVxaSD+JTkp6NTLIQTeN0JQ7vzd12sb1RudqtEsc8I00
yeURxqcY8vjZm+zkVKPqf2gF2MK+1UeOrJ+o76nq+idMNJCbWoPRjdRVQcshJFFn6+JeCBJxlk6p
IUBv+L0sU5P6k92AaUPzmbMmCzSz7S5LVU+Phattifryr+1o2OnGVWkSHU1Hy6+JLtoQBWz2pZCj
8ZzJorm6jaeekEZL0sycxL8BDe0Po0e+Wj1HKflZkTUFY5Lq90wI8tfSr9vXGBrqQzUU0UvDwvY8
zO1MS+ktnwTr6i2tWrZX3ajQUvfthjQcmYQWn5bdX2/o/bEqFuCOsTt8wnBGXGFqySrUiPGCmkZT
0GItfWjJrDQxDUf1qZo0qw/KfFJnbMyQ89JOGFuvtkyOYz99tmbXxiqQOHtwLWQtZW20nEQqnK8G
fx+3fVSlD3FPq+Jkuv+qFlsedGvhQe9hIS02Mpbpjig65+KSC/scuWMXbzRMSxBzI5aSoTfNFxjP
3U421vCbWe9/i+Nn1Xz/v//nf1wzGrimqSb/IS/7k/rm7vv0X29QhH8vv/ntl36rjglF8WwEZa5n
CQCIUIj+sWZ0/V9cB0s0PuG/1cDU4X9fM9qsGdlJcttyWUMASfhndaz/QhizuZpWEbZD+rL/kzXj
TwsDoCIOWjH2luvCEd3qT1syMTrtqOtxfQTVifA9r2L73uym5g6Hnhf+7tD8iyXiqo/83W7n47VQ
K5Iv6xET9LE6/f0WaZSsP1AhV0fXnBgYjUrcZYPpvyiOwIVcUX/716/305phfT2WlRi5187jz9CQ
TiNBpvF0Xq8ED4rqGmjKJpvZYPWzZR5ZoRFdZ86ewGmYGs9//eI/berWF0f757BQ5OytFJk/7jha
TZdzjTOCO2Lff0O3BL+mEKN3UWKZb3O0+Ex99H/3kf/FIbY5WmyvmFj+OW25l5Rnk+eSuFqK+SEv
kv4bASbMEPy0mx9iXf3HL+gILlJeDsQAUb72+oZ+txlkijtjY+z8Q6JF9dllbB2qpKct8kztCwYn
5+2vD+vPi2iLLxDdpIfel8mxTzv3xxdUUuhLHK2RDfXc5tQXEdPEZeExhXIMwEAAN1AAW6usVQss
bu1oVy8sGNwpSFgKVCvT3b31yjBWMZU9wKJvEnkRsz9/Vob3b64CdPc/X/SuTR/Bd9/ibPJl/+n9
VsSmxVnZDwfWYLH1rJWoq84yLnQ8WfWaJtvGYjqBs1cF4pl1fMp3UN00KHAHsl8c55RK4AXEuzF0
NJHtbxJnZSGBTIF5sHjijvyNMjmNusEA6GMUWxqggUEU28zcB0OSa611KQNZZSzerrFncQcqTuu2
A1F/Z/KO5pvonfkhYotUbBZ23/av3mg2CgvfMo8MfFumjkzQ5weHu4QToivO/UOmj9prViBKurUY
UrjkogxMwMaVLKnrjUEojfjOVTozkRLUePO1t/zRepwrNV0qPWFPQPIpWBrfIl3v40bAtozv6TzK
+UEjPPXBz1sCBGbq5bchM8jZ7nTz6GCLYkA6js2bV5rjA4sHyDR+u3D7IhcVWqTo7HdAPPONxS1T
bDRtzZuZ9PNNI/342e4HL2S4zkTcZ4Z1rJQ/vzkQ8YaASQS9Gsl0822wOj4pObjUgYXkBZn2RS8G
PFy2ZdRI78XAcfSWkePWWeJ58DlpTNj8lwnj0bvD0PmWxtLf4payzR1x2sy1/Zmx8EZidrv97VpN
sphBcGKmzKzTfJbfiqxGQWHZfFhDgXjYywkiC2g/8GsnHyFaecRs05Y9vDffG7Y9kSSvCaDhF6/h
fhpS7zP/LIlig5ZVOdZ7Lb3mLYnhacY0nhdfdeuAD7LwxmJUmAGgaLTAgsx/7oDsYeFs6vlhYMww
haODkyPg2928zTNLmuBvM+8RcBBJrokwoehmjECnZv2sE9xCisyaacB6/K25txkTeBZ0XRdspqcl
MmjB89x9/Az4zSoolZ5x31iSg8ZnfUzcfgyn2Pd3zD65gGnagarjjG0OJGxE0VlIAGDBKCfShtrZ
828oJQTdKHpQBHt9QT1/17eOZJnolTjxnhio6JRJEUXiuGPjpDaRqa3ta5EK/TiJ3h1nnJcaOxPJ
VknbK33IprCFLxPdgAPaxSaBmd5sqoQ94MXAgvPG4n36NoLwH4OJXjF9mIhInF4lhz9hHo9cUhrQ
PzYLoZcbDX8iZHYMMeAIbI6zfG7MKMGIqPDPoEGFG0Go5DpXQgVq7cDsmnc2iUPBOE6HyFfzuWf0
8uxgIA2SJoLGiTGZLQV7KUhz4rPUjTZsYAhsSPoV9xTH/W1ixhxvelIwv/T43SyuL5yXQeyn83kk
g+lgeYTibgaduQy69+XO64b4G+NmceeAjDxVaeLcNXrlo/BZLHUR1VRywmckrnTYMQ1hs/Tf/BQG
YgiVPk5DLm7/ZEXgFkKI10RSIfKIXswKe30oNOsTsC6Ngrh9rwQRC1mBaP3QTia3bOGaXHQgjbmk
VG7Lb4ngfzbcl+cbjzmuZSOqkvTgaBFP6aVL9+z5mzdb9P5LqRJYzG7slWtlPaKbnZPoZQ25v2ss
0bwpuYIBQXq8o0eNXzIExeeyNnKiy/XsNesgfEB8sAHD6Oh0U9c0j17jw5Dx/Qjy8+TVzw6IT2Iw
qxCzkhXvhFl6NqGiCxX6Ihvxpew0bTkuOCy8owl605wC0Ui64A6kxckxTPPXJR5tZwvq+vTPGAqC
ZBNmSv6zmyTt/0sUBUwF94nBau7Cyp+OtjloY2gCFA5+n0lRGdX9PBjzsFvI/vw5nMJSRgsyv7Ds
38IpKlezfiXBg59veGJ1n/DeG6gQvCntsK83Ub1bvDotNkacD0SYYte4kPE5cOjKqEE3bceflevV
h9SqvHs3MfUw41u1d0VDu6/gv76BkKAWaXrbu5hsPoNcjJxWrPvdNi3gim6JgIi7u86Tit498+7I
AGOHBNIfcmXhsHQpMh8lNn3PJncWLppVIXeTLMZCPF7rpTTEVRLGSS3uoGFxL20dTIubzOfvjKRF
7J0+8S9y4tQEBQiamP0n8ab0w9ibU1LH2TvmDMU2sxn7F6doSDGLDbRARTd2B4WiqwxGO5ZyD/3L
uwB0gq9GilexyXiYlAFy+vkBACjfJXZYxd5VPMfrjhc2o8V6X1TGDf/jFugmA5sgLILrpT/pRfJA
WiDU3aGZrMs0DDorUZuFTddr8ltlEkuBHqDjyW8srf3uFjwfJYY9Vid2WrAYaZkxIKewXSoGRV+z
/9vbEvACyQVPMiqJSNN4fLlkP53bousOo0Iz1o/UviWzja1YCnZyxmTQDDNUKq35ik/bMAO98+u3
yWibBG34yLtOy4bPOo0LL1l1qXJvCHkK0o8bB9dzCYUgbnPQo54+QhWIZ8s5DblkqAV7Xz1FWm2/
OYngxqo6LbtMTTcT2fYv40isxfTYPYKteSpqTT81Q6L9gNDjAyKYUF7wnqlyPrbJxjxxWXhFx5O8
9XvxbMJMoYXvZtQQHXkbC+8kXY8oSFjCrWwa/2BoPPR6Zcet6ilaz2jGOPB9Gcp1J05AyB30ArqG
3lh0QlWYfa+BBiiI9RehKcu2OE6Ulk/wTbXhaXRmxn1BOiVx4t2KHLQCj6qGQBKo03Gr0ErkqRYL
4jeoluM9uDe0AoJyo9DB3aSQSPIgKso0xIPJBM0hDAS8PDWIayT6KYfTfGeW/YgoMYH+SFxTOLNH
ORXZ0lw5/e2t9riz5GOifZ41Pz1ppG4g+Eh49MCGOsTscwlpcbVdMUw2n6N1wkqHqo3ikAQCGQUY
dx5jj1u62cXDTugxeieAZZtunttjDemAAXAhbhUJbTWT7L7b4KxP4RxQkfROmf+AKMBgdKyjg7/U
bPH6diRfo0bkwl3hR9W1P7RC3fuzNR25rikMhla/9/tGv7dLNYajXgaOVOVhHmyyCMlLeJqRTe8y
HqJh1iaEGmBttHR2jrMxVI+cbZ7L1VycePKVe6vMGW1pJgPa0tnGfnEdkMRuTA7Vva6a+FOjOcNb
VxvmXT2Wqxwp1ikg53Zf+AW28vHBLMWNyg9cNZO4H8wx7ZNpQvtOwWP7GRkVFVTpyDto2fKd7REn
xAJEi9rGxhWP408vsPcqtH6BxhNYbtQwrneQBHEIsWADd0NUUOehNcgLN1XbXGVecJGWCXeb1Om4
Ipcx4txHMxPDB5VDOQ1Gyu7wr9uotev4Qyvu0Ue5WO5cZKSs4H5q+8muznyeeM2hsT+KfhZHJFyv
he9fv86fuh+PtFYGFQJLJGbVny2TBLj1Q1b3zaGoCPdAMeyK51auMiRrFvXZWRMnTh+3w79+3T+1
/rwuy0iWh3SmxHz+1HXRkhcMZefmMGeF895r4KNKOaOKmeCadtu6rNTNcRLuxcwfqXL/+tVXleVP
R5dlKF0xX3DexM/kPSUzpifkxhxg89CAkJ5kPHvrXZeocu72fcz6hqTKjrZkrbyB5nFz/3gL/zux
+zcTO9MxVjbd/zyxe/0u+/96Sbs4rdL334/tfvvNv4/t3F9cg6vHB3ZnG4ju+KO/uQM84xcHGAsM
L2gd2I8NZmp/H9vpvzhc7LrrMer749jOdH/B5cblgOyVoRQkk/9kbMd88OdrzGQy6FkMHAQaWp7n
/PvvBi+xsqaiyuLkKEt3ONeELdDXGI08I2CzwsLqqXrywWRVKbSNKmNKffKh2JeI6YATVGNfEw3u
ruv97sn3+Bk6Ef8l9XoA22vuEvFOfn2usSDtBqckInDG9HOU0eJ2uyEboiWwNRaxG/x9QCAs3C3h
6Ks8tBvQmm1knSoPwsOmU3FHi+XFn9hK0VGMdhehCcw++9P0grsqchBzSPVp6cdVsVOoXTpqekhS
1/AIKkGc+pp+hBAOOW171pnjukdub3AE0wu/gm2s09e4llp7TKMmk2ECn+rQmW19XSZVkQtj6q9L
143nDNn4c9QomvFOJg+Gj/Zl46PN2XDrz8nYLZ00hGxRAB21WQQlkyqf4gRnt2HOTZBJ/tnVW3Fm
MfipznEQgKgcr56leN4VfUAmT00cQ41LTqZW/5QDgHhA32k+Rkj6503tMCfYER/NJy48beHRF/lo
kEZrazSj2DiqLULecx6aEhY8WSnlhigal0eB+YrArTmINLm4lO17MST3MbMHWFNKt4rQRWoVWPZk
0dnGi3XpwXSDGqxYYHvOQlBL2R/8qeo/WcCn8Fyli9hqowGEASkrD3dZ2ZwPe7gsnnHoM/0tRTAY
DnyWbR71L1Gl9JM/dZ9UTsqMr/TqSzdl6iSShkWt8pLQztU2Fr0dAuSNb9KqTKyThH2BiSrbOzSJ
JYe6gFTHpq527mP4sQ9AvKJQS9zxLQLY8kj9mm3t2Jkvamm+9yCWFDn1i7ON2jR+WOi1TzMTho40
RICEYr6AlY2YqDo4yyotehRm/5kkkiqwezc/Jk4Xxeep14vxEQxD3b53cSy/6FM7/EizUTw6ZWOf
s7g1n3IECSFEr+FiS9k6QT+WHLIJJPJ1MPQvmEaHO60xtK0x6d8ZMH5xp6mWoFiq9jhmuMyK1NTv
VeEKgpA6hS8uZsW5kOobZDzKWRxHxUDs7TCUbHQgse4ip64KwEbT9CWJlxrRNTPLZis14ogIOEHi
QNttAHDqyy2Q6hEpfL0ALmXldIHlAu5vFip6HBvjYbLF2yL9N71jmol1Y9sRB9kcfCdtfDaUSdvh
0OOK0Sn9Xu3Ie46j5rtuDBGBmITpbTvSRw92MY7efYK2Hn6ylwZZ4hiHmHvOjb8Qo+SQyZ1s0zN2
muk4i6qUXMxr7AmBQ5Nxlb5c4r0XzV1M2GfzVmKZGW5dD0IYBC063iF6AKeCub7NG1IUzTGUVMq7
Qff3yjKpV9lyt48GMZPlYYgEVBhvUNk5N/Usx0rTVPAFqY+v0jajrWvWyTFBWrFtG/QHjqtpoWgc
79Xq8Ats+uVcIdI+xL1M9rnHTDViZLKzI4XEQ1fTDp/rmqBa5J9naDFhmbXT2UvdnVX15aaJlCCp
WFr5Ju8y+zGpy3zbOPm4cUilDph7WmzuyvaU5SYRhOjF96NF2zOKMr5Ooz1xBLJleW4ZcRzt3uuu
s95rL1Mc4tQ8D3oeh0wTyYZN49oD0WSWACPODrkZBgCssO4Q+M9LtGxtfupc2Hp9FShz4alY2kwT
XrcGTchgm+4xpyjkTtW1j9BUzGfP9pLAcRi/J7Zgi6iaBdARXQYIuSLP35bMH6i53OkMAnUdCI9f
6E+gOY5DMm9s1yd9FkDDZl7Gu2KJ1Q+CeEb+1XV3iR0TIszacdjPkfwKWpeUCxTOOZPoSiAV0odj
VCqSCOuou6TF8IUHi7Ob+mI8VEtLZl4R1avKuZkmJ2At3H81Kp42Wwy/8kJ+kr8bY/EUsyQ7gLjV
z6nukiJWedmeLTExoEt3kOxxWDD73rZySaoEzjYejK7SjzrQLzSieXJ0JmvesorRz04/QVZfYzll
oxuXwRX+ea7cdEscyC1yFhW4Mnb3U+NLD5dy+mNI1YCxhxUeUm7uvZMgXcUHeHNsfVEu6KBz8H+z
+dCJOgBJaqjA5it6JXc5vUv1mXC6gjGqWnI/tIkEPtFZIsYf2vNcElGrk+XzDeg80MyymbZZUTQX
FO7xZhms5Ngt/q9Iz8tjbHff0PIO2yGffi1LhBy6UGI7DDxuRJccPYKuD8NUmGEZeXejiG4oX00a
QgC13jDaj8TdlLtOk3exym4D6KDHKckeZo7rKZpt6nu9uIvdctnNTu7zaCQMV984o3R29iLRFhCG
iJhhHMgDt2b1ycqV2kwDx/VGcFbsnJCRqOGqJOvCrcGTs9sY6Uxr2+umipONNdUK+hwWMX2bkOi1
PJUoNLTPkzRmhdHOxQaT2mBWmfZV+M7h7hYFgV+9EIo+JH2y3c7JQuJ1KWVoiywAaILM0pqN18ZA
YVJvdNGV31UNRxi2/tISP2doSdgwy3s1m2F+LUG7neiwBB1WJfetYo0QgLSdnUCofDzp2DK49RcV
x2BMemKYdfLESu6YHjLxd5RzWQgGIWObgkpkYxtuefPQ4J5gokr8C/bWdf0Jh7jHwNQYtL3sJ/tB
Kq/dTV4rmPsBSyQ7lNsrpgEOUK6ITkj0OH4hPh2LO3M15Hu5/JDtwwHuFmsM9QWf01QPYtrwdFum
VTRlnrtmKJNtb3QN2hkCtXxvw5NL39mSZ9sGg4OHy98d8Aqx5juxF6vicPHkOBz1RA3nIsm1o9a2
DoUfFiUA7BAi7oGtAUSo+6VNMbO3/rYmz5F8Vlh/YR63+psEeSfCOdOzRy/p2lvmoy7Gm0PeTI30
cy/TaN51nu4cFpHMIw64GWG2jsx8VbKp/hVvtB8iBBYX2KhMZgtO/ufFTK2dI+09GK0BWDuMBbXx
MLby+5i8ZW2OuC20aQR7ht7FnLWSuGKHYRwVUFsEpWN4Ryu19FcCibMgbhhaBPFgevmOiLZq5HLp
dSbMff+Zm/eyNTlI59oHX+bm0OhZKZYbzmgE5Aze4ozzJ0+w/A+ZYmBoA2LuHYILEUeW91UrPRE4
WBy3kESvjT0BksepxUjOhUmQeA1xEgCoHmWB7WALpqbYWxVMA5+TdvIG2Y4hy0f1bSZw/Asz9/ST
oRz3HFkEKwUpZPyL1CnNQmI2Y/9KCKNJXJr7uS9N+aoiGkMntq1doSHNMf6bvTPbbhvJsugXIRfm
4bEBkiCpgdZgyfYLlmRZmGcgAMTX94admWXTLquzn/OhspyDBBJD4Ma95+wzW+qh0xfZBRii7I9G
Y4opYKIDDtxwWAcK3bsipWP5ouPYCQaApk+sp+kRIJi2RTBtf4DR2y9Bjt0/2ilEeOG1U6VOF6fs
dguIs9tRI0YciwfKp8XJt7mZeqE3l+PWYsR2AQ93ul76eLrtnZxmD5QvmKy5jjysSZ7IicVurNc1
vhdMALbf0OrdtjoSwLKmpWdEQ7tlJmHvdKE6L3qlz5dNnzJxaGVz16x6z4D1PHtF/NffA+4tPsSa
WsQbCxDzsV4wIcFpU48q4ddQX632Qm1j+8aQwxQwza8PdOU4AO4pBglms10qR6P2RwqGB3IMamdI
cEsXZbWb7MYKM/LrD0jJSXzziume6aCxU9RuOxAzfkrjDmVdVorrzHH0CxYJseEB5GFxBNn0tErJ
eenSIFHahkjdDFGUqZUgc8XS+jVsXCoGM7tA9x6BYFRbCigUd0luWxJdKo2rtB3tV7zS04tdzuSZ
NoU3Xwldn43dBCdx9+/+vxrSYXlj/49eZ2XX//f9/8VT1T/132/8//yRPzf+nvmHhR+dJcG16Bzp
K9z/LyyAivnfYo6PThJFx1eUzt8b/7/1OYb9B/mdMJ/UVRMP7+kfqdfB8fy40Qfxhc+TIAENYDjG
+/NWXYv7mV3VbF+gQWdl0mkLTBsbJeNE97pXGtRrji6jEcIEGK/ouq4WjSxGS1U6byMHw1w75y1I
UGacttHNPC9zZ0Z7NwK3GIyGsFi58WE111D90JTs8ESV5nQ9MLakNCRsamI3iqEdyj1BtKV9Kcy2
/wzo82Ywsc8HGms00bG2sysQLi07iMsbEueWO8WVElfsgGKWhryG28vXAdnLUAdurV5Ws1ZY7KvV
VY4IeKvfF607tu8yhOJ3XRt5H/tCGknQ4ZDVArbwa6kMYGVliXsfFITkNYdYbLllY6gTGuc49GcN
8oe3Rp26p7yt7I8t+REbxaunTylZkO8ku0OyfReLl0XSDXSv9XkAq5AoLtQRpQlzKMKHjBzwT7yu
2g96T3afT/Sj97n23M/FvFy7ascOQuTlcuAv0ZUYbeOUkja09zxH22LV8YJ5zUIEUuO1N8CHKMfV
ZaGpMcWC4X7jsLOvx5o4EmppSizNolDGGf5u1MaeAWYZHfRumUIpneXG6/XliJa67ZARw0kjTEZJ
90mRpS/cD9ZNBoYdggqF0CkpKzecLZtyuZ61yykaqvtEOsREuGP9rpamE4iZ0VhguoN+xdwPY2bN
2M23W9041SbeSOZZYHCgQBxEqpH0PVg05dNxFRXr1cjIQaAjUSgBjMmQ+8LMZizjoFY/KUvZIIgu
lBBOvTzAnZaf1VJ3DkmvNXcSbcH1qLT1Za3EI316qSyMJqUtNI1KzBx0dIx//f+Q66ZIrhREEM0Y
pGrppNATkYlU3TGDQjBVxzLqp6LeOBi0M2+nd8qtq2hrnKGYin6SW4BJmvr53xX1/7KiEtzOkvTf
F1Ss7HX39FJ/v6R++5m//UEsmzRQPZxBmHD0Farw94qKCwiVnm0hkPN0y6HL+teKqqGA1JE5ftdl
/YtAtq6wGh1YGnFsdSGc/ZNW6tc0lu+69asckXYtD6fL4cibW2cJ33VS1TKhnFQw8AITWm8nuC/u
Mn7o/rzjvt1/OTq/JAudniw269KgmTVt49KjP4szp15wORzXrNrcuKoUIBo81uTexirGGkZUaR+O
eTbMER0JVor00oonQUar5J9G457nh2O9Vy2BdogJ21iOc3KpCdT9MmeI6ih+4iqYGIXtVuXRABGC
WdGYinTx2ygS6ke96tZQJXvomuWOiBhGMlvXjCeHIn4eE++UpgP1rodPzy9dXSkDLMRotYqx40lE
fc2SS5ICgpt/5xB/gvbeqkPwvP3uqfmf4un5qfxhAKF9/ZE/HxoXNB8jBsoBhLIUESrP4F/zB/cP
0+HRWFkltsZf//PQGMiGVQZ7nstuzrZBvP6nLFH/0HXT4CFkqoGE0vtHZcn5/HAVN6Ab1oClYNL7
KYMy0xrd7A1T2XuKYmZsTBe5Hz2zv//unPxCMXw+5FgP4yBxRsuK2FnXzx5NqfXdgiFY2UNPRRhJ
Mu/GGFX3VE5Ewn2bmMGGjL/wdiuWuK6+Rxyd1VlrtCDRaCRO4rVGt7u6GL9fBrgWWe8JI9ovWu2d
VLsTVyxbxtGUKooOlFFvcTqNc1rLV/QJ65ulsvppxIOxMH5/yDmnxICaHe2xVkR0Ktt6uKxRsNQ+
nMHaClwPYR+EKkPfqWMsyEUp2O2Fdj3pVdha8Rige0IdgKON8ifDiefVM2PWxevU5woK6CUwMw+C
XOyFX8VTJYqCAIR8dVw6rbwpcpLbCqUb3iMArY7kpTU7MiXTazwR6bUZkw64MdDThFAuygNyRlJp
hr680YGSf8HeJR8SNAkPThNf4UxMt5NTADZoCKGRupFfoeu0XSwqxnij92P5Kg1Zn9BIZe91Nc18
lAfFzmrxpmlpKYC1VNNerSNi3mSrh65Q147xMm3pMzQ+nJD+Ar5/fY37EUIcyIYndorKvrCndiM7
Zdq39OCRNc5eZJMYq9efe7csL21ZzjdeLRM8mO0EVKNzzZ0KTOZjmivelG/mhN4FNfQyxVP/EUmo
tfSXSdVkO6dyADVMEfd5oCbEWtJDKavnsXOajxmRH4+Zl+u3HqG0CdvR3nvJXDJsfFj3ECtKfalz
n2Ah2iXCJcwZunDynCeIR4K0MosTowm3QXIaY40ep/FiGavpwV3WRj98wY2uF9x7mYx730wz65TS
jk/mVMVrAw8gAem+RQrdfSSvSexq2sxMoWCC+TNhPy9dWSZhUiWfly5rNjHtiosYuSgKImklmPs5
OUkVFVcw9OQjrB7lxoA3calK2Ox+P2v5wa6EqmzyNItUX6mVO5PX3iFCbr8XU9VvjSXNL9UsHl9i
CJvPubZkxVbGEuGEMqTekVPAKC6yP7dDQTt16q6rYhVVOfAKjZm2fW7idRoYd+Txe68n8rmNmiJU
Gpe3olJi1pyniiQIUw3IvLF9pxkuMqUzDSx/MYxi1c2ewCFH/McOMvMRyFJtL1t6ne1tNBX6JZ6/
d9Y8TZrPy9/k1ubpoQcq2MSbOhJh8WUu0cFYnTJckfAln4eZvjJX1npu5jw/geiAgSyH4ba1BiWo
BvcW3n26HS35QRk7TJ4SUy2tmf5aAZy0nTx7uoMqOgaAhcSOGewNsslH5I21vk9zdxImc3+RLJ8r
XDw43cVIErKNNzhDGOI2eubLPhM04cqc/AQdbxSe0NaWly5D0flQeCohuAG6KlX10XHFRFP1ExkZ
PjqYfqKXrNQtllzRZ/cmSRbIdHwo/a6Y7p1lSLaehleJvsrqvONljzPTgkrje4NbVSFCLttBMWSS
GYRoXscM6k4YHynnF5roGTAIkyHuQIBEPsn4VuTWmi7UpAJzZduNZByQLDi9i20ldg2/sds+ufAi
RdTpmh1hfdSbZOyALFeRQt+tmz39IYOCau3aGTzUi7OKNv1kSAblmCPTGbs7dlZVSVa41+cfFavJ
7zxRpmGnrsPgunSsvVCH4sGJFmVF9us0XOlUG0eaVrXqT1JgHrWUxAstGu1H0vRaFP6ztQfmpDp0
nheC4Uvpafc6lIzM77FrYAKM7OgO+9r02dYrsHCVVjU7k2jwQ10gsvdHKHibfCzMQ9Or1ZH8bm87
lCNM15IyjIfdnRDWmSaED0c42k6z+xqua1ptrcYbgqpXXfxrC4MkJYq8T3PHn1qYRneyJ/fLtypl
bDYIf8ub2TCbL6ZtumibohTuKOkIF83ilXJDAEqRbNke1gdwKN6psFL7qShp7flGIUjf653yRpny
lRNIuEoVECrIv7OUoXyFAlE8GCrKwSLPbLlxZVnfxSX7cx8RPZhaguVQrJH8u/l37/R/2TvhNl85
+P9987Rj75S+/FgGfvuZv+pA9Q9+BRoiXvPmukH6z+bJdRCb6DZGGFpetImc/+hQDDZPKmQAZrSq
QYaaQf325+YJtCV6Flzr9OgdW7e9f2QfWwuw7/ZOKKvYMtFCYh/GH9mw/VjBxJA5pNvU4x47TTwE
Re6hj8WT4F2aIzE4vmN11SX3VIoyPHlTxXZWHlrYaQA6sKVkD2dB8TwrD9s2lp6Q8xBOoy62zoLm
T0v1YrM4abn/7rL8ojr85aHQslBem8zE7bND4SenVVFaQ2hqiNALnVkNY/FmixSh/faw/NdC9FeH
4lSu0cgaF/1cM4cbPmeoYQ5hMc9pOBuy3TDYyINhdt6Kij4Tqn09gTj/VBPrFpvf8yh50J1jXlic
QC9FiyIWHcQRXepZ2Ju4igBp1wZeb9a2oIGEE/z+lHIPfn/v/HlwdhHrXczsaC3Iv9t3D6j1I6MZ
BiLrTdzD2ZxsKw12xu+P8vPZtCCL6+zxTfT20BF/PErPC6kXbTSGHWFJKF6AM7Bjn1tHbLOmRMX8
+8OdCR75UpbOjoxt0RoiYJ/bvSzkhEaiDWMYL6hvkrz74hj6KwpHzOdFeWFHdAR+f8SfTyN8cvqm
gP7JklTP+8PwIbLJNeoxzFSLcQq8JC6WV29/f5Sz3dHX76UjW/OQVdLVMNbT/N3FMtFlVEASxtBI
BbG5inJJuOJp0XQd0xVjvt8f7Vdn8fujnV00tsNxS7DjyC6AwiCijIgFk9Mmy2HgAjj3uzx//v0h
zxJura/fkFbQ2mW3CRQ5X8oWRjXuNPHYaYmNxLg2i4dYHaODXUsXs2EMQaK9deBjB21h9i/2oLrH
xjL2Y9zVoRg9sR1hkfjd5DSf59lQDgv+RV9nBHaHKd4vkNIEWt7KNxYm7RfX31BNNo+2tSYxnN9x
bh/jcBh4jDCRoVsx13e/T60jtopCCkPaazDGCe7aGJy9rV7M5idVOpi8NLe5BquPM6iJmQy7RvzG
s2D98qOtO1uecIv/rf/+u5sm89BowR8cQHsmGHkSa0PXfQ5a1x62TAn690AsskCdbK/Y1IWsjiRC
dpfwDEW+KecBHxANfQTcmd8uleobwPU2UYUSBKrMchGPenet21I5yHxi1ygGEtGcNdV0wOQ24i95
GISL2tBIyWY0FWdnGPrale/cLebR45B35G8riLOGyPIIhiWN2szfj5PbX+fmYkDPkRgHjDHdTMpw
qj1H7tsU4cJiFuxDUGlfMmlXH5WuFWFW5cqad/WaL8bt4A65T5Bpvh+QpZ/4zdXu93frzw8I0CQK
A5563sEMJH88s3MfowKa1ouONksB8gGLVz1o6Xw/yqhBM1Jq//iR5Ihg2+gdWc663vx4RK+bBVKB
fAi7KDpohMxArf/sVeZlZwChBK/24fff8Od1m2AIVhs0tqvTVz9TqPexJyquzRBmS9HAgscwENcT
bU1GI5vfH+rn2xR1lI5wGCCtCoTy7DaNR0tkE8Tn0HOFdVErrXaomfa/cQJ/eRQGaJQpABk5hz+e
QIKKlHIgHC1U7E5Fy+V4yh4IpPvu919GW5tG35VkrGN8G0T3WKQdjUTns+NgMJEarEhwIyjsN/BF
s509lwCweyR4aG3JXTW48VXsyMfOfYTXF9Zmnr61LK3tsvOPQQkDxECz0FB/7bp/9+y3bW1Ksh77
kAQ5Z4vHq9hBzBx25jSkbmCY0jxo1YxgUa2/FPXk3OZDNoWxpYqrUkp2cjm5ZL8/NfovPxMMZzqr
9D+t84oD0I6iRInRh1U8Vge1s7aeytxUVkN7HfUMmxJnbD4WICPBJTGhGpuUXkO6hie5FeOmqvhC
zJ+4zt15I+X0aYSDG7Tp0NwtRKTia0utvQVn5VgtxbWiAs76/3yBr11KSnqe/7OGYaR1HnrbiZOa
LLcx3YrdOJnx+4RVLGhaJ0N4o6nM7+yBN1ZXHgGQPiFuvMc27h3GJoqCmciRFX7i3dTSqe9dGnmS
uI+j4cJDguu4QPHKFN4VQ0EobNu88Q3OM7S+3p1sWOizfvsGZ3cnokA+cL304aJk8REKQnUcLHyj
eDI3Q9qxyI/MTrJMPRj1IgJgJm/1eY1f3gV0yBk8keNFq/fHB9FdWEsgS/dhpiRD44905J4pq945
EF58+iwvdSHmR4wzyWcY58Mo4iCr9QSOUFL5Iu53usq+vrNNxycJcSoZv49NkHBAhq9Zhqg61r4s
laaxVDp3jpFvLcLON7biPeLv7faasNRLxdKKvazrJ0eod/bCgWLza0aN11tvnPOfS7fVdoBegQoB
DN95MJsFmySPMhaENiseqyh0RFZsFInRtUZp90ad+Itl26YGZudJmjy14tk+qS8gdHUsOmETV68e
gHje2iKjK/tP6R7rncSRmBp6Jpx/bBU/Xkaa2iNUNYs7qYvvc82IgRHIdb61sJuwlhxMpmorSB9t
7a3O/S/evjYeDhtLMC8mCu8fDz3EKQCkTGWq5ywf0WegsWzXGPHXwhme2fLam98/919rz7PFlJQm
Jp6azoYb98mPB/SE0s9pyi3LNry6HQ3qniUyNkuViMAQ8gtU1nucufMmXhqKGxMRt+jjbqNSrfz+
o/zyZmJiy5uFOaN6/lpOx0FYieD5xR49bNTGwc0AVhvdXh0HVpK9/v5wv3hpAm9kZkzOFDiV8xXb
9jIaouPMRV66OYwbLQokycdv7BF/eX41OhncSZzenwiRWa/FtWY2fcgemWRmMScbUWVeYEeucph6
g6cTCvCGHPFiO0UxgVRCK7azUC4kjMI3ntefN+UuYz2qZWZ4jmudP6/TQo+ZLDw+jBhQ0sYOGNRO
IpxfYgTEmhI0fVmF0BJWFd6ovvEAnw+lvj5XVEOcbOp2DEZn9xpNamjEcBPCRTOT58bpGCpMXTyc
AARY0Ozt2raDmmxozOPL6rAGIVRYG0bdtLWJ80JyN5F7fiUSA/OpPgyId6wYa//v74xfLDS46wj3
5NGnzjn3PyHYSRerstvQniMcSSbYYBqvNGQjK33jlPziUIB3TXIp0BqA8zl73GEb9k3bOW04yKh8
NY3FuZFYWjpYZOr/42utHB3mvWtL7adVrVnZCo1rtiE68u7Gw1uIZciJLrJuoIv4d6PxFx2tXyxi
HIm2CCWiQ1Pr7DWIZCzO6pEjYV+JN2iFmjvyw5hpqD3xBnMJ1BQozRvLxy9PJftrxtq2hjX5bNEG
VFmR9WC1IQhsEZRMaJgdlzomLr1/41CoS1gVz1ZNKg0VZQfaDoMV68dV083Neoylxi1iduB27GUZ
yCxJzElu4HtjwbG7Xt/Y1OQwOAwxKTt2juO8lcDRyxtQDzxcqUGP8YBDrXjApYXdHZKDO26AMNuY
m6M2eapJdrjKGbH1uzgp1mFChVHLr/hKRuDYNcEAHs4QbQfwwoAOt04lmPc6QAHxc2d+nCfavT3q
2NgLkxHVLtPK2d4aXpPouLKYjX6xM5olsd+wg0kumFca0aZL8y553xeAJw8FafNWCGe+JN5XbbRj
KecZbfqYi/7aKqvRvTIRXEc3dg8ffsffKxMQ7w4+BjMNLye8NxdmfOU6leVsRsuoCQW32uJOKJ4d
HbtKqffwLEj8wcwH8dJL0gdwVoYJEpqokAOZxjF43JFs8dXgvsRbaLhVd5kJtpNQfjwohGHfTx7D
VgGxclMLSKkXpQLzmb5D2eibprTW4iolJvDJgZCNJgWcSCBdAsTv8AYoDil0fba8myJH3FWp2Q1b
GCyec6vWmAu3DL7i8UARO+9aFzojdp4Y8CayHCkD6DFeWMGRrLdFtLb/VEXHvdL2lvs+S5CXz0VZ
G0FvJtjwsqax9qU73tDn3eGqaB6jRi8+FIqr3g6VPWGmy2aANcw7jdY7jTgWkYzv5sSpbiOHJqqZ
QPsH3x/qZj4Ro5qXu3gUR0MsU6A3/VOG4cy3Rh3fWob2F3r/i2ko01ZAMeczdE5o95OKnDy1QxMT
vU/FjAWl8uKL3mzmZ2eAu2JikMKKLp5kazMLM9bIu3nxIUE8qMifwQ+17yyv7LbgcFOsdpMMRjXV
LtyySK7I4IAI4aBiRM3/MEvDCi1Fg8OJCxlkfnSIPBO/Z5aPFBW9ExS8JTZ978ibvJgP7WAOKPjx
WqUyP+V0l+bJ7OCAzvoG6E27nQfC6LMkEgRV5eXFZCRASlL3XeSat3Dx5602uclOyk4GizKMm0jH
oCYpXW+juGg+Ve6qDU0cQGIDfAIm292rrbQMsgYSdFwa1qFT19ahKzywHYgZDoaaQlLGvrOlSXHU
iZKCi6Hhb1g+lOrYfoDctHcs8y4dlw+kIFTbSfVo1I3Rh5KBJfbUvHQPoIGrnVBaUh4s5R65V3Ts
IyPd2KtTS81MhevQSt/MPLkBK9zcpp0i3rVx597248x70egvhwVybTFLFBhK9aVvIRe5xpDuSR0n
5KR0xavZDyM6TgaU+SYX6YAXaazbiqwvn0qzI14BqemA0sVNpK9z8zwC8zLmjdOyj+BlyiLB0H36
iIUzv24n7rJsibD/5NoBhQhMiHqod7Ym3Qv+UG9nHoht9E3SAOAkRuDABHiVO4BjMRE/yFUIoQD6
ZZaPNkIhIqAJnVU8MTsE6u2NvNDHTel2BK/ju3HcSwUhcObnjgtYqViEpRxpz6o9Tdo23XcdZ8of
8gonKwjm+4Su/ju9yEgdLKs8PcAd7rYW0SrX2qS7uxp4DT6glmZckvbqs61G1JP0d5utI9XiouEl
+3no3djervKeIJus1Lic596+M0UevXo099HAVIhzsO4JdSMXd37PnKl87ZrOhlhd9tonsi6QU4yN
dWKm33xksg+3KOmXcKBiuXcXM/soen7PohQERQx6e5Q1++l0BiGHoqp/pAvHGCTrE7mmE3EnJAh7
PySx235uGzPf5bPSfnBaPd1nyPCKg0H6xC4FsP+Ioo4AIKeeUGxHVgkcW/Y8HIWuWNg5zXwT2zYS
aAquA5kT+cahhYzIFk/2LmffVO7LBpeCP6SxeGijaU05sVLNBVY9RRhyVLP1gpLR4KGpkmK9B5Xp
GHtZcoeosfBrhwSFHanYjfJANgZf0VlD3C5iXfJRcTU+oH4ep6s4iuJT6kLbQuMir+rBdS/NBEJi
w4g/NNXUvhODbsnVIdIe7SZJTpiCmk+07vQtjTPrFAOusLcVPOWdHOd8N9WzWYbIiOMTZjfhBI2V
WCceopaHiqtLE7495sgnwQQlzXMn4u7GlJ1236ec7zTLl1Au1RK6CScV2cdyoXBr3jRW1zzDvqq6
oMKwg1qizSD6UPHtrbnk1yrwbLTObI+NBidIir55Hpam+yASzqt0nPZzrcVdi/Ay4bSS6xAdY7oR
4egN/Ys39dbJlK0Ck6724tOMVBO6mU1g5wsxMSbD+0afDLyQxqRFcLF4LTebCYZQoCRu2/oopUBF
ueMY9Vg1Ve2+0RaEO1YdvW/sBKmENdaf7NjONwPuygRvk4w0H3EQ7sDR0Lfx4LYIs9RoE5PJc9GV
fHlSfef3rpKxLsZRujcwo24aVYlPo4c4BF2oRQVewd44mUZbHGCJr7QadE1E2+VTdEzKgf8gErjH
4ngqhg2omHr0sWWi93crLEcLTWtc6P2LE5tWACe/OGjdsN7lI/mVzFx06y4tE/Fg1sPoBFPNh8SZ
mt+6Q9c8GZiF7xRPtoXfVFNyWuyyItQVrfaHopXzO9fuxwcVSc1tul5uvYvcSyvDu9iaggPlCgg0
dPsEyiigy82eswbCZnmnwmB7VSX4aWUmlMWnaR/dkiJjHiDvVpe2MfEba5nfUrLP7yEu9C9yIi3n
CCOsT7ZKmSyvDkqSKohG0kN9+i1YdICQICuylRqBFtqqEiqZYke3ZsKWy2/wbi2HUgg74btzJ0ml
7Vh6bZM7jTUrOaGaqLWg1GT9TjEymrhiKbjWau8m4mAbQBgCrx9ea1dhzwTKBlByOUG8qTPtwYxX
pN7Ua19skRFxxqPX3rBayNdaz5ouQHKC5KfLrPELKRvS4po53PtNw2mxeZP3oQpfv/NXEeO9JKDg
1htUVjPHRsrUuO3NEFU0/lu9uR7EArIvi9obbXDjE37dNBy8lXq4kiRZx9aUDncloJJM+9imaaXe
dIrbs8bXeWkd6qXm5EFfu2JPHO0aOFUsYlBs6ZsOxshA2HA/yd4drqOyiUNRYPQ17ZJLw2vz0ujM
HPGNE6fvbLNvdkT69e+7BiBBJ5NXcHb8o75pmk0kGuPZ8mJrZzag2BqTeCNQCzj4hWGHGufLZ6Jp
bvKh4zkkJ2y51UoophQhk7/GFT/oRWwS51DfoWy+EtARmUWqUO+HrttMpJRdt/R/1DEREOqbjsPm
9kmdiPlJCEgJsVoyXldT5Wq2leZULVZ0Z0PVPHhzOkJpSXH+ahXDxhYF58FKh6NYlgLW1Ciu1Hjq
LqvYqY5xUi0+pT4lIGRAuAHxk2eRIJU71Xyb18J4EQTmtqmqsaQReCmNvt1WttbAmTYv5jkzH6m3
V275XD970zpnqkk5prN8aHFvMy1LKEhFVi+P7jzFtyp2kp0D2caui3bjTQp4zbSt9+4kn+j/lR/z
0pFomWpOEjrNmIWeHU7gLIsJdTrP+0OuqIYvIoU0ztJsdv04MvjSVukRCbfvTDdXQwPa/N3YKjZL
nRffjj0HGa3IeTeSeuPTmF4wVUbmE0lW9gNZZsU+TZ0HXKNlSLs0oQ6klPPLdEHJCg3rKnVp3NSa
fogMqT0DQ5p2kETVcNA1VEgp8r1J8DD2TQJ5IadVGC+LfUFxYT5mphVW1lzveJxYgGuYi35sw//y
cJq+inzUH2dwf9de6UlUC6V534AAARrqmTuLtesCr0jxoFmOcwN6oN9Z0EUxE1IX+t3QEeQ5z80X
yahJD5oY1WubcRukcDRgNs4VVv2mWfA2l1kfzBiNkW4BCJSDHoyOTUGPSPaJiOr8iC1lP+RtgY7L
VC7rJZtvpKo/QpXE4499kTwcrMHM2CjInPG6NK3oPUlDlBmm2OUsgXA53CG9ddVObnByuRf9krJ6
qck2sQp4BORpnIBW1IAgJw9EBIDyw7LUq0pZ4bVTwm/mgUPG28RzRr6akUDoAkTEc9dVbEsLtKjQ
0OpJXHnRkH0oAVOHlkYDntYasBgsmbQ0xlSBuxoZ7SVg/IxdnSNSKLtdlkMASdVbCzFllznzPsLk
Kdw+v8KFUF/01eSw6tdoGRnw+NXUDxgYsNfafbbXYJF98JiZss956upqTaKzZNA2tlhjMhPXF2LQ
PpD91R1q3XnWpP0l6ur2ExVrAQWedMes75X38PCUnSHGeDs4Y3mz2FQsBUJmht7esMLdyC2kHJr3
Qi8F8DOjnsyNcNTe2Ts5kF4WDbs+KWRvEPy2OPWJ9g1qQd3NUFyPRcEiVGtW9qkss+pGb93yxk7p
I/spsJkwS6bhpeh1hNXQG1/aSMUxrJPkcmpRARytLqvvFlN3pw8dFQ/XLWWTQ25SwVtCsY1D0QAG
lN7cfORtSe9MgqZFLEpD8lBHK4EPBs2AhS8xj/FKgi1zImj7saeJ0C+Ip3N4rYnfyyH6pPaZhpJ4
DWyqTXJI+naOPuk5ieWBGaWKFzQy6l9QTaKR17GWOFuZW9Vd0c4sDH0yT/XOiQdR70xvoqOB2YTb
I9FHChzAJPVdgiyVPMa4jj5ZmsXPeM0MYdBB7mxtzErlNqqMZcg3oudTEtyFXGpTodJy2MRg3fYz
WG/9RYrZjn2jWgkNfXQzoWOkeOU3S8Wd64M50X7cJKa3KKGyrCUAfB++Epsp7zJLVDJC7K6kaIUR
xFVSJK860k/G6JPoRJJgk0nh/5G2h65xHDnq2BoQcCc8EJ++nUxLYDbzDcaTaYDEEmWao8m5BsVn
16HhWXFgQIvNA3pBnHrCJKs7C/1YFRZpRrsHZQHBBFU+5/tGowt00lvYyYRZSOuCKIT6zppQVHAJ
mbeiEgdTw3Ns0Q/pGjXPLnpUDCKEi+EkV54YxKsAmsGjpBOpemUrWnKfL0IPq5EIxFLznJvc8doo
aCBd3E9J0y/7mTZ8dDJHvvReFyqfkaqcT51WERcPakilMP+rrSLgmvDs0vtPgDYbWMC552CBs0jo
/UvK7gWCyERFvPSi/5KSrlmE3tiRujd6RLeQhYezMCgw1VPvcjnlvqL/d5yIMVZ97kMqOisxm+yA
K4ImSsdsBRhDm1o4KIlU1/hZhfdXAP4OGWzljsiqdEng8ikRhkoUNCVk4VT6gONRT95rmapv26JW
j8yku/1UjsZNGbvzJVqm9EHKZHo/YQH81lb/l4j2lhMJmw6d0b9bwz9lGBxenpIf3Hu0utef+Mu+
pyEmReOJyhNOlb36mf9yImma8wegVA1P9J/JBn+Z97D1qeDOIQvyRkP0QMv8T/2pqWHeo/FLSWQB
2CY755+Y90hX/7HJixgFhSsfi5E+8jciIH9s8hI51Y4Wyu1r7lDlEEfV3F5UVDvso122XzhCyHsk
3+s4q55d3MkU4uEzesEvCdPPO/gQhhWAQLi3bW1+zB0lvWAugieYyDxenU1luyXv+96rN4ohl+GW
QiEm9SSepva9WrWR4hMnWhjlRe6lfShEkWXX0Dq91p/awt2xGakOZbTQCs7GNigXLd5UZWFuEHBY
O3q2Om4Eb7yBErrCNNUpuiyMprnsR30IF1u0R93rpheCPT+Z5eC+mF6vfiym2gnVJm0+dWWuQv4q
bbYf/ZPRZRrfl1UALrLeJRdySea92sBn4EIp1xXWajY0jgBJ4mqA2DpPj0VHW2DUSgFZpKA7padT
dlKSRH8kIX2V8TYbdEVN0KeJersgIrkdgKtsmE09oj333s/WjJd3zQprdO9xnl17K0ghiwxR3piZ
0u7NsdOvcaR0h9Eleed/2TuT5rqNNIv+oYYDQ2La4s2P86NEitogSFHCDGRiTODX9wFtV9mqqnZ7
Xws7HGFRfAOQyLzfveeaOQHIaq0gc9cystAoX8NeQUBh9rFzOd9eqaogltQY41tX+PFpjgGoF7VV
UhqZtbtlrTdb3ZdqE3Rtcwzt7PswUIHG/kR/cYkBw/jPQIeotSZNVWXw1bYhdbh+DkcuaJ6rrHpW
Br+6VpJJRzpBIOsNd+c4dbPDCUNBt/TpePOnGoBnWY2uBQ0vrB79RTNaZkcmT+sV+Vmt6Bx2tjyX
46EsjvgAQDWlvo91txn9LZAi2t5MTjMzAwM9DcRerOQiCqu4n+duuYun1Nyka19c6tjU4Wamdvkt
TrPjTCwOIi8RwivDyR4nryuvXWT1a1jfzs0ao997aTzdT61q93XX6W99IMo6wg/eb4bCkD9obcqH
KJmEdaj8fLpuF/QD7dbIlB+ldtqbkveUg+SmXCVvTKs1IGJm6leWDNk7Zr1vUo06gwhqwwXyWm2b
9UZ5Ywj4jkO9o0lKRDxzbbSqQs2cvfxsayfpuAdHh771UbPXgE29Apqs86iXazHNuHbUhJTV0Jw7
XfvKk+dumbvPCaGpKhoLO/3RDEuzC4IyPPpr4U3rGu/eAqrISVPodZBOOJYQ+KL+a2EU66BS7f21
NAdnahGNrX8l1zIdGpnTfYmh6G30rHIPlsn7VqytO8tHAY+3dvFMLQf11uqnL1SyO/dGEfvMzIN4
P/QoQJt6rfNpPpp9grXkJwAfJKEvEWKZGdjcIyo3u0UREvM8PCz0l6NDsxED5+u6h6Cchid0rwZl
vWaSlscrnDZMsitDcoByaYYAKRbylmhhx9Ro0yOPd2dCnmrpJbKWMcc4Gc+7bG0tGjX9RQSELXhc
0K7TcOYr6UV8k649Rx5MLisO2k+E2rxL6AzHtnaWu2kwp02j/TPzhgy6EDCeUxZXE6dFr7ln8GYg
xq+tSvR2zI9FR9VStZYu2Wv9EkdWtTVWyt4wtdMp+Khoqs3Qf9S5sjchEDxHS/OGHNXOXDudEkG7
07z2PLF4mrccLIlwuXW6oYEERIGpQqJok3lalPVuTS6QeaHqE4NA+1R1YBGztUqKMxeFXnzJh3Yt
mYoz+cnw5czsiUatx2UtoqpMKcFA+vNxzslZ+bOqKEVc26oweKakCd3igJIqt7CKGPbYS3+VpYP+
TARN7JWsk41HVu7GZP8UNWsjVrh2Y8WIFy9OY6bHeW3NMnSJOU30swHF3PVeeAguqHGh8d3KlRHp
tX0Lh+/wIwdnDZE/ay6d8ixkjAqSBH1dyVIlOwXiCvzxOOJk7ogqAbJJX+wl6a/bqrx0TTOc09Cr
N05L+RdyRn+/rIVg01oNZq4lYR2BLRX18DZ3IvHaQyWabINKEmy7IoBQ46fiO431I9lL/Q1sBUMX
1swyiosJcgZHw+vUECpqpDs9y4/asrXADKdzuO2dxnvBTMG94XiSsUeAIJcV+oa2A4MFiwo09Hbx
tVhr0QKfgjQrJiy2mI31SiOA2Go61IjexRt7rVVzR4+GNdOIkQszS6NSLsGpCsvLQiPbOsaHugTk
ZAeAiS+4tt1w62fjwwQL99nQLp6KAbDgvHa85WUHutNQyfRkctY/hw5FcEmQ0gnH5RgeWTcRC3rz
uoP1fFmW4Z4WAnSakpkBym6xcbn2PuWzXa3DiYhbYm2xs5ANF4CpYWBcCrJUzK3aJogcB3QS48Lg
mGlv2AP1LHeMA6qNGcTXbPCLQ4OGSUlATiJsQV6aJFIXN1S6H9Z6vASMVGTrksFXEFfXiduyfE/x
9JpmpjwYFPVeIUT73yy/LN9aAOK3btc+dE7lPjLe/GzOArtxSEBtmsD6QXtfDsHgDzvl+uNn2oaH
M6rOa752+KU5XhCIWavffC6Ow1IyLqFDtztndjzsRJYIWPh1c7+swwQGMO6Ile4BKc1+QficrjnY
j+TErHh8ppKF8OxCvWAls/xMFee+cSC0Y/m5Y0L5pA1woibzQhCUTkzNwlh+ospGHgZU6jukCmuj
O8ngSMXfgyJhCUzS9BB0IUeItKP4EEP3dSrEdCXXWsQx7DhMdcDA5YJuBRFi+cGI+RPMknpjF7n/
SOrV3fdW0W94fQgHuXMzsqruZGp9jTv06KoRDB5kc13iL0GzgxQaW+JzuVY3KvT5nYBqeMBhHu6z
teKxHWaN+zRrv2qj9iI6scGdjXR8+lM+7GkT+DqB0YQKSU1kAnqsEEm1K2mPNAZ33rYz5nl/rZaE
aRP5RVJe6f7KB3xpY4yoxltR4njC9YceY/rl5xxo+CObquKqVmt1pbu2WGYfhZYNeKsDdnB5i165
rzw6LwNN+yWzBEbvmkZMajOrvZnaybXPoHfX0sF6TOK1P3NkZHavXKlPVCPASgkoAYTh6m4mMX0F
rZLDp2pdeZgma7mTk5/TN9ha52Zp6z2Fhfp1+Kjt7NYGz/ijzLOgm7peabNi6zaL/lbTLPDVw2tp
ss19rZIw3vJCflRDpfZ5VYcAXmqjPc2kFzdVXoDWXFrqR3wFBCuyRFHfSG0XG3K1HsOgSqUbVMd3
NFgbrWCZeKSBNY/c0EQOLfI79r2bPjPL/cQBe2/GkifoFNPlvVaa8hCW2zSASUpRi8lYIoDouXaf
Dj0Of/gWyQ4/RBux9Wh3eA0fXKaUwAJhul3FccdRs7Y5pfJVf8WDmBxtHUMM/ahZTagDObcIKpsk
Nbqt+rWLda1lVanZQv0A78ZE23zwJQ+kaJqTnCFlb33T0i/vMFSwIIx2uXHiwt7HNVUJ1mOg4yEn
kjAGafMtG6qRyX5Vl2H1iURrUYhz7AZZcdXTVdN8mmhhJFDVv2sD5EZYs1OO8pZZLSDI0vLHTc3R
e8twlFKPOU0oG6TitMdwOuvvkqHb+xTyCtkjuF/4mearwQwQEuEoT/EMezWyRlzJjCKy80AN+Y2S
/Omm85oXhzvPKeZ2z2/EqRKG5IQTRu4ZWYkmSqSu39vYtG6aTAcnD0WWO5jD3K0/eJ8WxnORal3v
XZSS6tLFXyipdMNp5y5he2kr5cAsrNqzUcnqwZzSFP0BcFvUpNNwFGUfrKvBvGXXR6mwYAtjT13F
KCorjl670h9L174y6w5V0aS9IUNb3gVlqreuN1cOLH9+n1nIhqjIKJ475CONa0FWCFmWYUfKLKm0
55O7TDhwNlnZzy9A1++SnDhLRD5WP5LSTbYjvTXxph8W84Z8sb3J+67btk4Jvg4XiDegI8ngLuAp
nGOkUAOCI1OeCPZsddZVnn9KgrJ/6dl6cmbqxtu5XpLHyl06Uvd82HEFG8agcyKJXLsikRGPU4uY
RnuWN0i6y/NOPcZxZfbbrOGPDkvongra4S59EmJAUJZ6gkdlfbGY5Hypm+QprnzzWtioZog4pnF0
bGBI4HmBEAyjeQVCSj4y1aSTMo5l7d8g4pE4T9Wrv9AfHMkF0FNkpOayAYtEW2m2JIAiTLS0u6Kc
y+fclPnnIJ/iQ2CHVkJrmmXTvzv2n4t2oOAITwDVTwLPSZVIekOTep+3OTehbuslaj3AUNAZmAsB
HVT2lmzP9AbAFxW7MQCKtY2e75W/lrfXYZldWmh48BcWZq9Mv+xdB69pZ/tYqyaIg5RqL/k1vtLs
VAHnuEXn5QCrPS4m03grg2b5nCYipiXX8nhzzsyiYcKcfi5YKmyu/Mnc0M273Blzs2xLjO5MFsby
Uq/7JGfhumoXTCuWMrGcf5RasfPdZFnYHOs8thiL4P/k/LluZC23vXYdNtdMxVa1c0l2IZxDH+0V
p5r60vRTUN1ZRd45mBI8DmP0pLJ7Hxu66jdD6nXmxAjAW96NuTaneys08qMHSJi/cDTm577WUn9a
JiPn+Wr0HHh7piqd49ukdnzbl4DYWz1d8ZG0ARaJRKXexumsBoTn/1SCMg/RG/p2STR4X199KstK
P/1B/vk3zkBrNTT+wThnBiaZUNonwdiTMXB/dt1Kpae8dKzployfCz3NTiPLHvlGqpOBnS1OvtqV
cxhz++wU7t4Q7d5NrV3gxzdyWGir7Xe81UO45Azos8P//eJ+chD++to8Ip2Yvsnr/Jwpq6xRAQ6x
p1sp21tfslcEnzLe/v1fgmEe+61Je73/8wfgwmri0Av6MrNJ0PGPZ5R7SJX7j1/zX0nyryRJh0nk
H76Rf5Ekj6/Ta5b9kShm/fojv2uSLngkk4uTChOHGYSHtfN3pJhn/sLkCrHyox3hIyPzmypp26iV
2EBDnOQ4vTGV/0OVtIJfQjOEGAKbC6oRdvO/o0q6f76BBFok8EgSzdioMdjSBfpnUZKgWbnkbmI/
dky6UbaWqpuj0eJ1bpaS8YYUGF5Sapu+SR8PUpoWxsUO1XyohTHLTZnxLCs7+q5h95bwCzlX9qGB
PKZH+dKZJn8PzjUsoSti4z5vteTIzBjq1FBujhkaUfHDAWMbsIvS1fD04alp7Lm4YGVZjmECrze1
jOF7vRhLG2GKFXcGkAuUvJKKrxSw8WuYyPnVd9I5Wwts4GynycgkoS3aZQ+WVZ3d2ZBvHITy1z6Z
ZuQT5i9M0+aXuQVZG8qk8DfOvPTfKSu2IlrlxSnhzn5IUg9rgkGpDvhB+/OAfbH4i8jEh0v+n2vY
x1ewmsP5VhGioXH+FJWqFoH4GOMUW1onPLnO4O6krXkUrIgkniG26tmf21V43/jSvq4nm7cmvQDs
UlaY42FJ83nnM885hQsD/yV201sbu+s7R2TjuVZud0lnQ+/cLM9vBrcnZBKkIEnKMg4OSQpJaeic
5i4I2s996ZALk6hdyYS2ktoH6OnvufLU2x9ukn+zcK94rz8s3LxpYfrrBcxjzxTiX4IpEu96Epuy
fuSEEr9Y67efNA3bCltQqembSLC5056qfOp38IgrDPtGv+w7J19u9KDNN1lYfAyhO+m7pBbFeWoc
9zGe+S9FGPW7LRvrKqHv8C4dPOvaSZS+d4P4KRHahiGA+7SopxF6MgiorJ5IKRitcShQQLczJWi7
xay4pp3eHK/MxXmvveF6am3riL7hHmcA54y4yLVkei522p3snYkUydTwpZRhfhaimb5laeNE0KCm
b7KNHTpe6Vdre2uM4hTxQ47Dvs8mfeGmLG790eBm6gg3Fs47RM4c+0zcet22yJnhAcirNlkc6GGb
ZVgiGwacB3Np7Y2dYZbxawwcuuZbivo6y2+qdB2KB6X9POOV/x6UioNIjYuatJEbqiPDVWtfp113
ZMibgc7szZsYO+19UFvjjVso3pztDJS0qnTJjzPe73CziMS+GFmv7zow6Nfkk5N9tgTLcXLXe9Mo
locK09CzSDv1FjK4vhaiDTcmroW/euT9ec3igc9Gz0MediyAswR8Vzf9HwKbDAKwAY6+cUkhRD/g
F6oPBgUtT7OmCLr1B/ok2JmcqrZZvmHexFbdd7CwydKl75zK9a307PiselM9+0rIbZmW5kEF8ovG
TbxVg1d9rhR/SzG29Grmo8Ocle/+ugHpHZk93sbOTfRupqLxwum4ECC5eKvzwGGfiBHkZQuz2Ehg
ZV1QGw5zruytHXQmm+a0AQNarkd92xbN8vBx2cocd2SWefNNq1zr2pJN/KOhJPRLYFTdc0iq4xnq
qrrNugw2UYXZNEVArLO32iwOqNRQEgcdAjdyhgEr9rwU/q4IUo4Jpmrm3f99634Ep/65Xq0f/zqz
IDDnUShEkn+9tf/w8SPsdkCdWkxurfSMbU/khXY8ZTzmtI7etFZumxtPdQayVoaG42oZyhs246k+
BGbG48XhHmR6U6r4HBSjfC1Gj+lBiNEv2UiGPS/YKHkz1ARbJ5UNxq97mf9ILfl3b0Csj1eLzRm7
1Z/5efXCecYirXQpqZzZ6dzSt0om6FVejAeiq1lnYjWxXthrE1idusYOnKV8hU7vXlmTF2P3ax0W
5rl5dbRvXXsTtprUxn62Z5IWfyp9xWA7rZMy+IuoyM9lSuuHL3ymnkzbfLaUP7/2qWpXEv/kXprB
xWw4dV38g6uZnrcWv+6TtWTLTa47fVf6Y33o8dpkkV3XHoWh2XgmgZBtptBuT6U7YWHxlfGJMjws
SpPos02rhvpuCbrs2rd5/xOaKF6Hbup+jDwm+Ioy8QYlC27/sgTot6ttcsCcXR+gSCEZ53gTtc3J
qcdZ+mzjqT4aAcY2qFz2Lg6o2ig7J9lLTs0vmJ6XQzuN8YmGWWZltV8jt9i2/m4lHeuVXQljTdXa
1o5SwnDvNMUbprpjlzq1QiWQ8lSKMX6pfW519gT6/uPWi2mEQiQA/7uD3MbLq4uYOUprX0obdwot
Ks64CW2VvpuyW/Y5/N0XrrzxuyirdQVZP5rcj89wgJYbYa7GClGx8sk18YtMW3wyJap4JJSXffGr
/JvTYPpRSapPxWR3m7a1R2QluG64V7qt65f6NscmVP/FhcAm8U9PUG5DgqvsGRi+MpxmO/jTtoG1
uhq6YlSXtLR6f0PXUYrgsK7NJaz7A6zjdEOFHG8AB2+yZysmXz18+Q8LekEBErY7pYbytwCaS1x/
0IgxoZtZsRmxX63CR73vFUh+RFjffFt7Pz+z/PdvNiy370PmC2Mbem7l41Cna/VQsx27Geve3aEH
zFwHVCvhH3dK0ImlFeOLCWkWOgaJobf0JvknfNefMfhwevfRXRhjAMbGKQzgjxsL3/tgDu+IwyyR
BT2pmKyao7YWAuXctXDqs3XLuX6vCA/9c4f1xTUg3G+1nS270JmfLSlhQjZQ3ng9aRXBrKsPYSK4
WHO7E0xWAv8bydFq21I9cG7wehyXsJyNCLulOiwK4NoNspzApTQU6RPPgeypM+hEiRaJhoNfsMqf
u4DkC10NykuOKfsWrCUOqwHmJXQwA8z2xRindYODc+0MVY1HVVd5VFWuPcIOZc076EKVydsFjRGV
zWrz6qYVVBf3w+qUAU8db/AmC6rSFqv+lCR9h8QveOosVu68pU5M9D+xPFlcGcCX2P6E8wP+wMYA
c6jMt6psWFd7VRFTYWU3N0YN6zxxp+I8cyHgtp6a5soQM7htKKLOF6tZ4B7M1JY8IPHGQ0QVsr60
7C2PIODCBALbsvywvSI4Yf81EKKrgjZTL0ZTwhI47cQ4UoxECxk9PwTLI2aXXIWZYpcZabK+fQi3
IHJlDLfPWcofgM8vDKKoWXfZttImiiN1U05Fdev7Ff1nTBoR+8m7R104Lw8fj7P/nmz/4mTL8XFF
I/1ns83t9/H1z7y3337k95OtJQC+CUxq7ARCixzoP0+26yP3t6OsAKnNVt/HdS1cbDhrS8FvBpsP
BjBoAx5qnPMCEqJ/5ygLV/inFZEs8vpr2BCCeLP/RQtJe6HHupXOjQ875GmehEs1M3de5C6liVJd
KVpoZXMG8aWsqLHUSOFR0u0mLygPg90p+prNwf7ipkSWGr/ElqL06AjCcErTMse25ImG1fFLX1Rc
xQmrXCpn/GjhGIC3lH3eb5ECKVYfptm6DE7XvNRjPN4tbRhrSK8105ZiIVCJMb2d9lklsGK0Obu3
thiHiOFxf/DYk6PwpbmGc500a+Pb7PBwm2cen6kOpuQYCmsZtrrIzTf4/6zQ5VwU78o3FN0g7ki6
Zqr0XRw3HdaSJOa9I3ljOMg1iv2pmVtB+MVi7HygcI3/63SutM9DkCCEpi7JgsSo3XxLmkQb54AX
2FyJGNZp1KiK1l07kM1DCDuCA3ox3qlyInrhE9igeAwfS9w1QIam1j+yfajVJhfNkjCx7PV9SyaO
aYFodS/Bm9qfeyl7dPrtFJtNr46x5VLSXcV24viHwK2LZO+3mbmY1PyA7TQ3RR3oW8dfSG5s+nk0
TuJXuVF+aI85efm6pogtKAlIPXec4jvnQoVTEbXwXwCcu1nMxrtQIwT03erRCfFpJ21FbTMWnGjA
W+YBBzDSPL6LrdnYj9Qi0gjsdr2DhqGG0e8pxTFGirsV1MLmaHYkbK5wMJXxVoluXC8c6EuLZi+0
N2h4xA9deVM5nns2RdK8teYq7502aruOSFkVsWsgavEliVPbXl50VpJHfe8n1VdVxNMPV/R/F7zv
/y/CJc4UTpL/ecE7lWVWExP9k5j36w/9tuTBsSTFZENKdENrRX3z9/0m5oXWL+6KaVmJPSE8o1XF
+ecKiK+YVRKsic/ftxoDf18B6QfwqBNjAV1FPhpa/84KCFzuzysgXD0ImoiGgO98zH8fqssfjmaZ
l+HEsrr0rJXlZ0Q86P50cwIKktUBy4K2BIHcPHyUheIYuhIIsLmNgQuPo+MRfIS1DXonaEo61BZf
UBBEoSMQa9PUD9wdlThYOQz+hyLM22eFS93dkI1Jcqo16BOPRrsb2X5WAfVVMcaDaKC2TJC4HLzr
MOd+Wfc2y4kdaE8DaN6EO4wBTrsbV6bixpkaoqxdLMdIBAYqQj773xixjds+CMk/LCZFAKks+24z
By69nxaeMfs6tPt024WVdzMhOkXVOFw6cot7vwO1EjGTNcGRe1b2KPN8ftCp2d+2iV1dqpzYxM7X
jUHcJNCJG9WumWDcyOWldOVIsGdSmJua+ZgAfjvbss2umKAcdEaPR5Q2WbN3a9fb2F2K976f7II+
MpcEheh9m3oxKBOZ05aPlk1KPkzF14S40x0dDOGWHK1zP9h5exqpZNimln2fegvnhdrzd8YMR1pL
o7x3fKO8derp4pqMp2GqkwWU2k+/kf6RBwH0coMZrbiiGI64j6fVZWw58UZDmiU3TJDF7ZSu23DG
icO1Oe0UDVi3sWyrH/noUWYIPG7fuez2ktbvLrYXfnN5bODPIgTjGakiFMG/iEA8h8Kwohaz4UaW
7nmcGizq5FMf85Yl1tGhvnKkP91nnUn4sUjfcuCSr27jTVvmP1e4zOatu4KVOasKhnLSoClUV49l
W1SY18ruFgx7yvmP3AodiQ9tmfe3hi5oVeGO/VxQNRmJzta3MwnlrdSuvbNcXqlB0GhrjnHyaaF8
ooooiierkNdU0m7qPG+R5aR15aTKPLOhfS/583S6ivKB0zGBAiLk4cUng/0QYOPGzRbnOGlJ4t+K
tZo9lwyHCuJOB0pS64tpc0X73tBf24UQVzOHY9k6NIpx2d804E9fsPTB9GAbngJEp52OzG3JYZVN
w1YVxXRgBp/sDTVceSBnz2bq3Yxjp4hYeDSHqoaevCDXjFDrcuQIwTVIqHwmLwCAfINW8WQw3Em7
5QJRxNzH/pUYCRZ0qv4yT0N+nzrtnYGwa6FGbcNSXBgjlrs6kN86SU8OLfJP80qG4iT8tfLbco+Z
vp83VWZTtYmRrF6/qfndoHmV3RHAqWUwn8UQ6s04h/FRTqNxM1GesosHmWxzU7ywGHZ3Nj3KewOD
K1DdhC2X6sSTIL5ILh+0ehVzcDYcm9vKOPtMXyMyJC9E4NRu8KuW4kxlM8M+Lz01yVWfRqqHW1hn
t3WMG0B4IQ2gnNGwZVa7aZKUAU653gimmpcgdsoHGbgJ7bZ8zMhezglCn36odLkcatp5tqT32sNS
aO9GtCPxIWc6tbOIiy1ewukB0eNp4DF/NNTs3uI/TWtusKYTk/mIA1mU4VZZWFzu53hyqmsCDLdV
G7xxFAV87i3hp5wB7x5QKwWjQRbfz06Q3blp91oLifGK+tVooejOk6MLYbU1+69dy1tee1y2rSzt
q6SscdPYLpe0mZT0P4qSUW1a3s8su1Gq1+KTpiVI5dfz12UIQdjErM/jwDWYzXr+Gs50YxJfM9Wj
avVjbaIBJ0Fd3TXEc0A8hIyY7xO63U+OxN5wYFDO3LZ0aULslrw5yYIdDvPeHqylrMNLn/s/ZIMV
M7EJkExpUOIPCixqjQjTB0wd6qqJN7R3DhoPDBXBKJyZZ+ythch5YPfVfk7J+LC440zUw1NaUvco
jjPCwLmqzXTg2WKob4VBSpBRTg63BKK6zai/DQj75o0OjsWAl+lai9Z70DywH5025hYpJi49TGej
+6WzsvacLtXcUaLruG89V3+2sUAUYqk0Yl8QhZb+RUHCYN5vme25sUGgqjk29n2Y1wk9Nv1pBphC
lfBQPhJadmgAHkF3pEXMhRsuU/oiA9HtRltURytL0teASUZIJU0LNy2Ze3GdOK2FUYySLC9aJvCr
o8S0MjnjOEaMiYwHydL+oy4EU3bgXNNNP3bdPQqTMknqzvhgOM7LJCJH6+gI7NjwbJJme1Wtmb3w
TE5Q96rhpnOW6i4e3fCHqdMBokMZO2gKxfhsFOVyW5n+CaETx3nleO9uHbqctNH/B1KQY7lLgHOc
3GY80XJY0cdo2fOWOcSaFIj5FPHcpcHTMM4uJdVd+W7kZh6fq8GGcQOMfXqIlfCeeI6EO4mFeT+Q
VjDwcfmSMrUCDfXUZlp/KzAoCBajJH6C0TLeax//Aniz1LjPcq8DiulU7Qv8h+LWKVFauYp7Kr5s
KPGncFDFu0BpQsgh+dWVk40FpI5PeM+rrVWk3KySw8HdohxCR4iRwRzZ4ECq3WyH5g1i4vTiTvP0
nRZL9ZUZ57ivjRyvipGECbBUqlXPiNLjPcgYBBWna41vwpxBAhM2BPpGnPg4+GTvj74xya9hohEi
Z2rqTtJieLPNs1whfaL1PasgEyIKGqe/5AIjPblLR916vSxP3HPEkwbbZNAwC60iXnm4c/zWfInD
Pha7OjMLvbVGwz3A5c8u1M4ydIDQtKlxH8ONDUR+YHnGu+laI2bxwvav56lXZyvtva0nBUfYcei2
pc0FRyP2soGQKHbKdNWGfH+/g0sTisjq5IM1dP22Qze8Lo1xIBEdQ0DTfi5PnS9aGj/Kun2hNnqd
KyZDZzE96JovxWzLetcTc1Mc6NTyHQiPcxObGMkd23sTSRp+9tO6em1oL987aUn1MEt8XEXzWDQG
unLBikjGwjxlvunfhNS4fR3dtjxKjsl0hCbuAujCmZ03f+Js3ceW8xT2aZpFQeVogXuLFEPd2M2R
iBX/WdA6FRyJh86XoIjVuNFIyq9jOBKArV35FaNN/+CGPa72XNvmy7Cwgdwl5jRwLZkd9di0bL6H
Cov4Lq68hMNsk8dfwJbUn5n1et3eQTO9GrphxiJi0M+7tDQiVABMThQp35vLkH1RtU9L8bhtUppf
iALvpgCGbT334YPoQ/N28EWyTUKq33DESfuOGKURBRatzSjErozcdhRvAHlt8HMIcU8Urvo47KsJ
n6hlOBYV0V1mkhFOktuut+nnQPA72XnJYFe4/XaRTrkfTHO4tjDzewO1wmluD+ChBs+Ht4SLNBo7
FNLC69vPCQGjN+oG4z3tEnBY+DaXbiNbMdykti4YajsFBJTYNWWUtUlOWUYh8ndpwrCN8JHUkTTS
kqXFmW4aFOTnMtblJ7xu6cHMXIPzQTxct9izMVRCob4qWjrQE+oS02pKzrQ0GN2+ZoxwDLKQ2jDo
x8WXLvChARABYRiUZm4f76S0vR0Bh+WqMCx5nvBIXPMOy2tbZNm3eMn6Pd3bPUwRNe6pd69Pqkyc
rV0sz5Ih37CxbKt9TRzl3ztK4XM3s/b0X1nw/3NKRqTzOLr+51PyXfudeqo/npF/+5F/yILeL+zK
OB/boe94ABH/cUZmdv8LcG2elFhOOAd7SIG/n5G9X8Aah/wcKwNOGBtp8rcz8kcMj/MsMFyP0Zf3
9zr0WJn+fEYGgum4ns/xcM31MTf5OYbXDUC42Urd50XoMNhGEme5bhOIC2EshXgQFMV0h6Y063ZP
+wnEsmgaM4+yI6JgjAo/pCQfxDzTlqygmJhd0qo3ucFokHHzuCciOdYF9uPVVteXynwnCDKxD/C7
msMWw8c1REOfMc7HJrWJRxyaUAAjS1V+JtJt/Vi7rJoo7FTwZqw2QI1d4uwXaz6iSVj5e7+8YJqO
D8mCj5CSP6zwuO2x5jreAPfCJm5HcFu2ZJgdQSAdd2Kw2hSr1bBYr9ZFbzUxZqudUa/GRn90h6/Y
ze2dwMqAD7H20kv74Yuko3O+H8F1h1uwMqC6HMk7jhD/+2DXqVJuQzNFK42LPbWhzBo4Lr9lq0Oz
g1CS37pErbdYYf07hmh4O+dMp9mm9Og27aHqMOoIdUgzttln86Pv9j0VHLGcv8RzQ7aCpQkQlY6T
R184dD90DfsIAi2ATDIvJjk4af2FdcNyD57Q5impnXEXekVXb0wrxzHvgzZPIj9z5PPcagCZiQKR
AC6gOhtdTXeX4QYQlat4YWBeTD5BbPB2KsqXjK4j/NHdss3djt55r4Si2g+z8u55J4y57WKsNEct
XMAM9p1dtzqDKyNPf3C8EhAxMQ93mRj2U4KxxGWYvR2a1H9Qi9Ak+9Mi2dpz3zwUqzF5bkQcmZWy
HozVtlyPlXeOBWoLWARszZMMkRe4aQhtrs7ndGaPX0TJjKdor2pDXgtaHOcbsx5MX545ok60doXE
6IJgxwchIA6MaS3vRaHS5gT3zSI24QDBQ1QJMg+iQtUJulgJMDIzrLHu4M4laSvoH+LTexg6chNs
Wkf/sZJ1Nm19Q4fyqWxHX9EsSQvTTEIIiAMNZOxftOb05/0ve+fW3MaRbem/MjHv5cjMukfMzAPu
IEGKoECa8ksFJZl1v1+zfv18BdlhiX3aOj7P3R3RLdmiABSqMnfuvda3FLXCTVIGjX9yqjD6CnYT
2ViSuaD/M0/nxmmwiWtbI24p71tQmSeOChHpE8X4ij6ZnhLhUf1WI2/WxynUkU0Guyqo7jJnMUBh
FMNYKXAcrDqpsXqQ+mR0B0GM+K4I4/gBhY6c11E9ADAsmyDnyWYSTd1X6bjb0NvuR7xO1TCc5jnu
6w0kEnNdRnybm2rIB4lm22ig2i2TrwcH+zozXhwH7t005+N91tpi36QuUUShSdyXkMvUOnEreA+G
G98bJYhmushBhhBCYkonCR3wgorbct/5U00Wp2gfCYZJ5rPfG18MMNM8U8AamBfQubPvu9JkTt3V
4JGg8+nyZWKWShGKQuLCFF6Ve4uGTrHnH+Ik9Y2CfZOVSH+EuAW7QNlOV6M2z5Szz/BtjEc3QYxk
llXzhl3wye4dQDix3c4fhxSJ/mEE8lgemwD4oVcZ9E7aVqApS9TZKkaeR+ahnMQTqizQgEvoga6T
/TyZ3k1ieBovz2hM02mSBEy5ZlvMnCubdI8psV04/AFiZr6rchdWaG7VbJlno9Ji2Jl9lG2A6Krb
0sFXYnqJ4W8N5PPRxoomAFWzFW+ESZzNqsP+knxuwAK+JqIznmixDUgNp6HZNqVl8awxB9oYyWxu
c+kY3bEJF/iO2SftlrC1sLnlD1iMNQ1abKjgHYrTlUPtQtOmJcs3p4DHcCBW8PwtOjC9E9HiczjR
2E4Tmrioq4GOQYP5Negoe0hltvPeuiuLqveoOYPsInVoPtPe/9XiFoZByHia76YQ6oCfzT070CU2
IYbJTaei+kh2nyu2xdypbWbYeLwg4kyP9D+s+yxX/bDKabzJOzxg5d3czU6y9+rSfKm76QV1FS5X
kl7B7ck4yLz1QNxYi/I+mfo7xj7yftaypddZ0lnDQTiFZzkNQaNWiZXpWR9y0+1cGxY4RkZEUfQ+
vHsUafKb6OY/Y9afjFldkiH+rpxal0Xx+5cu/tJ339dU337sj5LKlb+4DAeYHqhrQSX/0hC75i8I
mFyBjonxAiOJ70qqawQ8qVOOxSTA4xd/lVTiF6YUpLAANnD/sYb4G4D3O0WY5blMXJUg40q6DB/e
l1S20sw3QCQeyiJEV4tceBvNhb9mK3/RTvrZE4DVqxKxVYFObU2iW0vui05vPAmWRHTeBW9KemNk
XYq4MzsNtF4w1Dj3iqdslQkDi3uCpkD3Fgbgvph3lolmog4rk62r9ncVdOe176DZQzR1vgIWEfYU
3ONeupW1O60QSLR0BASLM12XtRB0YZK0fRky/9JjicWDX6q1YyefIWyJDeHxnD8xNq+xxzfHamhe
JK7O9Qzxi8IARVgeuM/GKB4TU34eGl7esauXrIzfSshjxNO58ZpZ9ZlSr0WAxedxqqnbiqZ+cSD+
rTr69kS68PGKsCWZiObYhgbUsWk8Kpiu2wYtl2ZgTBl2uIuYtL6p1JhWDky2VYn+dCMYN64ypi8r
i2RKPgKXQeBjjfELBUTQg3XjPQyVZWyjgH5OH7FTJhZy3zILWWs5nq4ZAJw5z3bb5SdpaXir2Mcj
ymEVMoHmElSZSWOhk/M5LLMzTu5hm+GlXGUhslTbwlNVjPAAeyrmjQkRYcNA/SltF9yNizLVL4s3
XaDcqU3EqnbA/jDSZmAtzMIvQcZIgQCcC7robkvPG3KDoLsW5QlfMGjHVYmPDdCc314CL0hPJIlC
nTGyeVfNkF9Gj6tntrzoaLtHTxqX600S1xqli1W3m8oFtCk1yJYB2Vsj/MvowXJmTAPQWdjnIeZN
hUlqHU1j8dUldFfKMJ9uXJ+lmFVebAR6XeyGLtJLiTS0bNXWpZIAt+5MXCZuLGSyFFa2fc/9/Db5
ePyQOnggWOPPKPn47md+lwSYwQZpFJux89q1O5T8TL707iWVgnJhWYq69ddo+F6u3zeQGSDDGbdV
N/J5QxS4GPKZn5Q1x2r27OxGyPCNh5y7GnEiim7uTs/lVimXZyGsO/2URfzW8ZLPpuSN8OSBr6rS
+L7ncqExvOiZb36seU5cFwAjbqH5DjgwRaPbvriYLdeOyzfssZmsPJ7G68UA+z2ATeePVmn+OSfg
dxsIYJsMFewtnXVkzGkb3GhczI95C5dLVWOCBAjbpsm4fzfnSP6RviJKAL+3qcXAewij9tZrDbj5
uPpO9PniNWMAtU1dHko9midIH8Wq6EvuMmIm8UMX6Z2neFBNwULgDVG2TXWYgb9N34irjc9DREN/
ebwQjM8HITnXTFbmUX4v7KgeKJBAPkdt4QNEi0Sxn2iXMIdcHsPUK9fX79ZYTINGgBt7CJYlhFug
qJDqmlCP1te7fHbTeUeF4+/b0EqRBGf+zqE1Rg4Tt/P1BljucB7xc2zNxd7ULGMwlhC1z/58uH7N
XT+aPAfcRlNKG2+AOflaLc0We9ESzwavVfTSOAQ+0sXEjj/Hml+MMn0LU96fb/L0CIzjKM86f60K
GdyIpi9OLpCOe3sC7zAmn42QCHYDUMgJV2i6zVyeiH7GrhfaPKcAZuRJo/XfuQ43WZGbxcloMePN
MI5Ze/PXomVxkPTv4sna+1EGS5Lp6SmQiOhRWeAX7RizclABz6ba5ggGZBGmE6Q4xbk4iJL8DgNU
3doNJYvbyFdnuMBTgl6dI9P39jTD9b5CZrGt0I+tSVuu1sBAkav2kqfIrcpDTrV7yF3wbNe1Sfmg
Uq8PLadzRJehceHvjh7shluisa2z0omGuWrQUQWSwbZDa1nXEyBBJ+b744S/YTBYnCbOjfTx0jfi
5Lg0mifgeq1JpIR9zEzqoZd8r1bhpFtr6tqN4dksgZZd04c1ggeOY/nGQcC294L6reY05OZ9suWh
h2IXs55YRhbvZNN88QT0lsLAxVjW7jM28XKbGtGDMXKoK4EVm8Q+33A8hnJm0AqXG6fXYqsIDSNJ
bDJIPJ2z+bfUBvWycqgIGCt7qLFXOPCSz4rpyQaftY8vRKiLHabZpvXGKrnTYdvfxKPgKzThHQZ4
SKXVbxNRQ1Mr4+4Bz6JDrDf0kdDdNe00MNBPiXSYyOdut7MVVRJJd23cVEH/asBr/tr6wxcrFsxs
QnNK37zaNGZEgMZMu5Hlfzx0hKvs/DzliLhqjBqPZtLwzCfWYODRUQA0pRfc+WM5G7uMETdoARV5
7pEedpsfOvqzxosOYWtF5IlnALd8kzC9JpPOutaY9e6hOCi9DYmdNR4BxSPAdp3Ld6XYf+FSoUL6
zqSCKcUlm970TMdxAcPhNeDffyenyHyDE0rZ9NBdtN4vUNA4ZXMxC+/SN5g7bApvhmHc6X//uu9a
VN9eF1eYUIjjsMm8a1H50Pk0LOT+IBd4Mq6GFqxP+rUYsQNhoHr7+1dbLF7vqrfFoYga3pIIit9z
qeYxNCwmLv0h09wgSyXgMwXbhgYn+usr/ecQ8JNDgGmKpaH575uql985BbTt779/fwb446f+1B7J
XxzQn5LIl2t+7p+6I/ELvleTUpLa26TI/0t3ZDq/OB49BcSVwpLYgbnN/uipmhYHAKJ1yZvwOAXg
xvonuiPLfae8JNuWubr0LTKb6M9y2PjxQcH+YhrRaBdHBpOUNHvG+2EybJmlwj7qchBeq+V0M546
pREctLXewPIx924YuIc6t+A+20GbbznqyPuWmeNlSkW6JdCs2IShQ9DU2HCaD53pJZ8mZJwatyWu
v0IeKQKydY8PbF2zim3BJHzti6o7QlAN93ZcECfnpfVaBshL5pm4Uz2QS+4iri9XQC7BrEZ1vs4K
DwlPQnvFqmrvtWja/MiIG+xD7GCPc4EtdYNYD0kcfsCh4h0KHWcY5MyBkXxrdWi5lVO+AKet92ow
5puWgwUiQeU4n2k3VfC88gqNQk4v4q5sNOb1pPNOUzKLxx5j2abI3PPQS/9OJGYNECUMf8uiFoCr
mQ6H2e0hiMc1C3dC3E3jBsVhjMkybEx9LquSY0Ohip2DrRHNxiA/FK5/ExYp2IwpfTA80G8ubvKV
1KO3zejIrfq0tj826Kmo/0iuF3gQEWhN7bFvZyoNgvlurDQybrIW1FmqajpoNFQ2bSLKu9qJ3Ghb
g46mrhv7i4wra6vg1p7CILf3ViXznaqB1Ym5nZmCI45xYyNYAcC9OFM+fdFp72zbEchZ4KbteSbz
C4qFk+0cwi43RjXpRytO3M89otkK4QN+uHYvKzM5gOxVe1P5wTMVfblLksD5Susy1Xe9VskdhM2U
rmKFlmyaunwLE2bYxFA6Dq3TNPh7VLzRAhQ8ngqFToLk+QatzGevKca3cNT+bhbFRGwqGQBbnhtm
AXoEZwYp6inqJRiCqdSveFwF5x44X3dGmQ634IHJN6LDH3F6Imi5Clmv0TmBvppTUr2EU3wAkV/e
ZaN8iiaj6tDDWPWBGJL0PJXsqh4t6w8qb/xbq0bFxanLolsTSyN3D73Rx5o9OZ2HlU9sakqs1DTe
0PHZJYWi+YO5xdzBvPTWSqKAQEak8oNGQ7EuYDeEK2XRpoNz1ecbwjUGtUnqENOGzGO8OnP+AAH8
4NtMM6K+qO8aR72Ca3aDUw1zIrqtZParEzfuY17a2Pg5ZR3buLcCtcfZmNDEHfyx8L/MFuTZbRjo
+cM8TO0DUEAvJ3TTDOaTVYCD8Lr+CTaMuWiAo6bfZql7IeIx2fpNL7foYHwcnK5adAltBoSOzu9j
BaE1GdcxiSmHCv5h86RIGGGKDtOdJvEGrVzp3hRgMVqDwQa+sw8slFz3fKiwcDlJ4TTbEpvppzmq
x24tKiO8r7Wbu7/CFKC3gI9PyzPZjn3wFfIxCrt49lescBiOLcPair78yJ1rpyvPz0HI+Y0liRsZ
MriyAiXJZ9cIUA95xSBKVBbQfjia9z24WQTd4SpAsGHdjWHuP+e6sl9T1PHcKQKy4pGhvhhWxWIz
KzrX+qots0v3KsA2fQAT5oItNGKfAa5kBLUt7JSXnLNwGS9MQl7I+qHHDgaNSpEBfbxn7eMVu5RO
80r5wJg2OWhB6NmI9MoPrqdV6dA/qSOzu02z0RabshyMVehObriFU+98mGAY7dCB8VtOUMmqsbnG
awfC0SUbPXXbOGi8YKw2NQiL3B/3iWU6d5RrEMRjUn1IBAo2dppZ3Vr16LfBdER7gl+8fQno6qFQ
2WkOGRuuGmmXpymyo9ugqtxdOXYWzpelKFoAlRXMF447qy5x1CI+39sG6gie1YT1K3TibRMS9b2j
tyE+ooJIto5qZ8mRzMa4YxTFvRv15aM3uM5959TDJ5vMCgQjpn+LOouqvW7kJp2scN813dxSOfeZ
WOWA/b7Uuv7MHtXcw6V1dqO79KqHWHgrRbPoI/FMwW4CrfVkW2F7tuiXsjkU2ZGSuf1AEgVlLGjZ
mwHmwxcaKDaiMblpXSfEZpUEBzjP4iV1Zbxpwel9GmQN37dDxnlI7Hq6hYSO38xW2HHqCcXLqJPf
ImXKG7suh3srnHZ4b4gx6sScrDuCu6vFmGptEdXMD/TNk23EaarNiuqJtEzUTc7Q7yUElD2GAA4q
iRxH0MIMJ8YMTr9r+Sj8m0l5t7HJEu8zK90gZqQnxet/xAhrr9QSDhWCtnugQT6uhzni+JP44d7h
A+wqvGfZSo5WxNI4Wy+mWTfshWggXgeEYHfSneXvQ6/QyCLS2kI/lQenrc1fF1b5VvlluKkAH+1A
fVfbBgHafSrG+hmFZH3XN13zYEP8PiEdKNZzVCSnNCJivjaj4T4tQXLbKnMWKNhv6GbiE8T46FdU
xuI+CCSJyknrUAnksCB7rxTrMjeB/OGz6jgZ2d6DnbjT3ldO80qQ1LpeWkgotrpz09rk41i554CD
a33GctF8K5O0/Dy2IaKYKRe0GUpxjET4a8CEdC2LXFA8uCTMYdPYxiAVvZWQxstUBGJrAbq+s+NY
3JpGC6uA3R8HigE5Cqmhlawm2T0ZCkzZhtla264sd9r6xohKepgcf11Dh1jPPjhDmoSqgxDqLdof
kToy5G8TwBZNpEp9M3QbyNz2q5rIQ5msKCFuCCEXu1uT+jlPlaMjFx1d4oVseWGOnu3SOrqK/2Mt
+G9ZC1gPFpnBv6/vn7rX6IfS/tsP/CmZEECIbfgbnnCkrfBU/SWZWExWEIiJz4Pv8s078Kdkgv6+
ZMfw3L+0Eqa70IyFKWwa8XgQOHX8v//zgzG6fff7/1X0+UOJwLP9v/+bU8APJ0McC1ip8HiRa2kh
zjCXc+p35190rjAMtKfv/IW9kQJoqrQGCzeyoeWkcpCklc7rIQyr29Ym10RqTU4FFcyDrsFlNzVD
QEAM0wMxIv42j+UEiULbDzlPPiVUmU1ADSBcjKIfaIbljhWMj9AyYRlQ0g+ebz1FwQRA6tDnjOId
2Hd0P0FDGR98AEP5TdmgP6fnJWXpvSFA13F/GB2bWeAxdHsGYsfAnYzkhtS9evhYDVzkj0ZBnUGT
KVLWNkywI9xyLS2T0T/lpuBlWfQqAYUvX/DJMNNBKTe5hUlrzGJyRPKIRDJFGP1YOMGlyBVzWIa0
iJUIsc7m3viMDyomG8ZqiLMHt0WNxxh3aurjzKh7F5X0UHwkS1iAcipf4vEYHlD2wykdYLCvffgM
qrhJ0FIsUGjUKvS5xlEM9S0cqsX6lCw2qChMMUDhoB31Jk2NUH80tKSltxFhmoS7wKpsclAUWot+
P3zzV0kRovpkHcI2nE6PToZu6q5CU8DpZ5XbSuXDf2RU/70VwWYc93crwq+vbcThs/tRSoUgafmx
P9cFiT1IolZiUuczqluMQ38c+xcp1Td11VUq9eeSsMDMlYUtnB+CqrKkbv9x4rfsX2z8lwAzsAhZ
C3Pon6wMP7aMoAThfSIzi4WB/oKiJ/HjwoDmqO6NtneYrGT5vC7iqcey0XbYVsa6/e27C/PTLtz1
xZCTIQzD1eTwcd914UKbxr2LufMcQRz6VFiluuhu8J/TuKMchvFQfQrBKL36A5HV/4OXpv/G2kyH
jIv64+eMjVROHXm752scRuE3iBLInmGbBjlIFe5NFPSIfpboCxyS8U9M/stf/1dnbvnkriKUQCye
Mr649y+vzDgsfPhm5yw3EIF5xoCWQ2DmqW5IlOLlppwN/+8/8pUb8C8vyq3COJnkU/d907OoiqAP
K8aotirUpaBoPqrcmUmioQn0XHW2d7LiJaehlz06uajru69O1cb7zHC4DjWD4H3lhkRPtsYSEzjP
s/XqeAplbYDvQN4OVQB9KZ6JrgNbKDmqTFlhmuu//xzvAEPXa+fQKbOBlHAet971UL2RwD2cUkxg
e4N7Bc31ccr6dNp5LXKSaxTMlP4065dx+798Y4wFMPWxlyv+/8cbxjGEm0xgTc+JHOQFaAs1K7kx
byKZ6jNCpOnRtip5b7s+qYk66v8Zc+56x5gSE6LLIZX75v2zMvh+gTBxkmdyNafHeHlgtE9AWDjU
8icYHsli8v6zmjSMF0sjL2i/b/oF2u0KIXp5tog3eTSqqEh3QywXpLNptl9RFVqvMIWXp3NJNMEe
xsNiUHqjvISK/Pdf97+uSGgQaHPCWFucj+/vWmUZpV8DaDn3Xc1DYkGWLk/4UThkx0Xq/w8ekqUV
y3PJfxGTLpXTd5URUxbSuMxBcWSgei+w7MxrDmnlbe+K8jZvSH8zh7a8reuYuxzGmrzP8WpBr0wk
qX0ymUEuOMP0GNb2RAqrUN6pSwd/KzuqJ/hQJKcWOuEps72Cdo+PIC3b/f0luwZPv3vSXaJu6Nqy
VVACvXtEkiwMek/78hzQVqx3s9s0h+t9Q++s+tQ05FwhVmPJ1VzAHBD3NoxnKA2tBiJV6ZyGQ4wk
NdvP40zqjgyIB/Qa6Ll//z7/i1WQOQx9b4F900Jf8uO1NoAFDU5gybM9E3qxul5mWTXVJykCeamz
5md3NlXyj3e2I2zuavZcmub0pt+/Yt6FKhGpbkF+m+Wt3eX2KxLV5X9MNHY9MacPGMrBaQVxEOAx
HBJcdSP9w49xvzRqTOwBX81y4E4XrAAMZ4m/I5bxZC33xPUSoapj8+KE7Z/awS1vNYEhJJbGBHm6
fKBZ9+Xt319GPsH7j8Un4Xs2uXOxeTEX+PFCzl7qw0bX4RlRogZ6p+dmk7hG8oFWn+4OxRANI9rF
AYyBstFX0v7Ig2jnI2MllGs5dqw1MKe1ShTkhLxzd8NVbBlBHZfrQoZ6mZbbwbwR5gwnhMAK44lo
p7DbCIJwG3oLi34Ti3WEfEUJnoxkEXeyBSw6zyQjWtarinO/KEC9Nk9OKvfK+yEJXFriZSMwm5EC
8SK1m36Qpc6+CKYNm4w6gIhKPRNzpach+qqx2Do3nY6KTdyxf9/AU0QJUZtJ9UAmI42z6SpUtRbN
qu2iIFoNrmtUz32RJePGDFz3o499QaxqbCBIodVQI8KzQ3SgKLA0SMNOeZ9rAyMViQFtl+L3R723
qvveao6q1rFxDDxpnVRIMiVicCbyDGM+6nGQRJtilGrOxkhKDOavrrDpQCimE3kUVtWDG+ZZs6YB
EwUbqLf+cxj1bLsoIW5d3fPIOfiHt3Ue0aijNPC3ruxoDdOetV9b+GXxuvBYbSgBWYiHil2gJRoM
H7TbYngNzMIAzRJktJIkKtyTl7opaS+BjKSHvOmbdti8ConBI9cnJL7Ii8NvWuNq4S5bYRzdD6nf
ffGK1AHLrCKBOSRpNr6Zh/eNArLa4FTk9Fh9GoWYX2QL6lkt0Geof+ozgmdIM+Bg9oi1gh1HqfI3
2i32C309e1VfAdILSjrsF6o07KJiI3q+nnVE9Pueloq9ySUUam6sXODwJkgHQLVeWNUe0GqrFs56
4qRVXRB2A7Ue0DBAuC6+4a7xOwqfGyDTpbvJ3SWMbtUh+CQxY2XZfgDXBoTsqGwUAlZsAEuMtUFW
6AZNpF+9AJZyTN5umhTgzcnM9XaGWIqf2Z4eyzTlShOmUt5iJKcYYgW3Xmskn0jDMw7Pqxwcx9Nk
tHxjOujYFLQmN2xwiWYF98haEWvuSkRtks3UKmr+Dlqm1SfG8HyzILj5UuMEs5UQjUeiK0KURUDG
Vw9I7VMTW+G5d725W88kPrwG9jiiQBDUq11GqBuuI/t1Cmb/ecTh97WdI+voICY6GehgTqCQOKQ3
UY2EgycUhnpu8tfr2ubNceIobynrgufeQdSRAr+7BayhLvjPlj9UZv6p6xboJstZENDP9fNwI+WS
6RoSZdbSiabwUULwD1DNEMDu2VycRi0ZEHAn+RMNwLB7hhAsMRBLvVNYAyD13XJ6/EPFbLCiXtdI
ajjvFNhsom5SN4eg9Nqvtb9cyqVFf2nbnl9e323e97TIzdqaHkrKTqzxdqwf6mstkmaO1Xwo8rQ5
hOEg7/uZb2Qg3PNWq1FeBkm8o1KJfuxjjhvmEg5NM5ntuZtISNVL9agV117mmg/FI8krpRH5tHHJ
zZAsvxoaXbWrMKH6FOlgv5K04kOnojyqMnbb2g/rTwkZiuZ6goz3eC0U5rQu9M2UZM63hl5C2Mmn
pubN0K5NiGDHMr2OKYeOzI7EPc17Y+2UAR1OeNrliduI7+4aZV2UNRtPW0JNQ4D2KBJBEV6Wtb+1
EV5+wsHIbq5TZTTbQPlU6e28BLKVjgZp1ja884GfIWuVHsN0qo2GtLRrgdMvpUpK0MPXb4cfcyl9
dIIyfJPZ2spQExN4vHIrZxmA2No7RbltvUYuWu092w5vsFIMPxGMQETfIlMOPmdGxIsX10dIBnYy
7QZ6JpRB7DwI9cezZ43tV6jyfEcV2byq47d+KNmAC8tmbSuXo0pK72UvtaQwoKt1dPim7wuY1Uc+
TnlrEnD4GGtsrBDHM97t0MfEuo3suN1ye9pFJu9FmLAzpRZhsttkoFy1AMX2dxU6ieiQQ1SjSnNQ
eaOonD0Y8PznpAIMELjtUq5ZJz3/eRpi95KkXp1tu1rEe4aW3COQJu1XrHJc06lC5vhtEUgzc3ok
QpOrkjFKOWGMMY+1zxNWOcvL54gG18ny1GedrD4lEl4XmYfNgXK/PpBxy7caK1QoGRs512GkBPWJ
kn82FqjnpEPntfE6nleR5czY49kgftTmiW+alndyvRMtMIjt7RizBNggPqatbDIWHyusw/bBn8BY
Hz0skMEqqS2WJoU58JA39Nrjbp6Qs3IcRSjkdBRFyuupgRRzr49aJDbBy4m8KMPjDOAnHEOsyZOX
kVwk4qmVlkQmBIlPHGfsV5+csKJ6r+VItOfyCdmJqJFbhxWoKRuai8uBFyR59WmWJo9oyBE1ZukW
q5Ej7aWv+YclogdzixyNFEssUtm3ivG6bepZcEdVmYEDwov47LNd+adCeYSm9woSHGHKj9er1lTD
5G+SUWbzplneTuTwKdKYKNmq73heiyjEXptCXhWzNoONa84mSoGMzHObZv7XOk55uJBMszpGbYNg
LOKWZxJKm/ExigPH3I4YZw46Rs21tf0+sx+nZlwCw5lxzmujEfarNS0rC3/afy6WsV+W9dYxrUuD
4BbfG7Mbghz4aaJAVP1RCjVyiwQpF3peNpc4ua59k0qMfRlKFnlKkXA5klukOaOz5Z64XoBva9Fy
cIeUzrqwLKxN6LLjXO/dIFzsCzCbmsOEEupzwzZ0vt6fluqDfUIjYD8UtZXeofnlFvFE3xyQ0g03
UaiZh3y7IXKwMG9IclPEt83QHIiC9RHbMRcNSbS7XO8KB6jVvEpVIO8dUkT3si7kfWIv3Ya0NeJy
7RSFLFadXbASwXswCPdQNCEaO4nnVbx8IGPMuftiyK3rxhr5d5pCiJBlLKP3hEQ3B245ebEjpxw3
yN14skBRsMOgvTdRcnLTIA5ltTdj+cGmz3vmpM5NLQwJWKQbWbSvK6CVAgFj6uJysUkDXbZvJpTI
QNyRx2bZgLA6h6bGXDR0LApQpgbooIZHonXRL+826TseM7PWvG6IrfUxJ1XWWVUc1Z59hHfPoR3y
uXs9YBYcFSz9DS3laaGwGBVuHenFEzjioYg+yEWXcSwWt0cjFrCgTT4v4cNxyd0uZDA3l87uKUJC
I/Wfr/Piglk8n9f1xwerV+7H3pvyDwwBv0RGYKzB+7QHG+PiyoVbeDumYfIWgjNbuQoRiulwpF4P
JWAZc2J7ZITHjqTjcV6TzNb5VCjaeU4TzXWOK77Q0h7naW9AdN6JwtMDM84SIMYApZ/pX3JngvGS
kF7s/MjJfjoUEtnHmrC34i4ozfLNnzLqBUdNLIYUmVjMWoX1cJraTtzUy+J/A1iFRqQfRdRUQAQ5
wWTMZo1S0YWhy9av6ywYjY9hovh60Nryv7UvuUimDcSUDuC48syRBadZFv96oMbJl5KujjzSYMAp
7kngMNb9MtK4HpQBR3NhTJ9H1Y/qAudew9sLZpdmkyqpD5hl8E6RcvL3BcxrP9H9L9PfS2pMdhe/
8rfJsodLhsPPyNu5g64Hw1CERXVDbCloiKZjTSudyQ1u6acBKIhK/xTDsDwuZsD7cLL9Z0l86lc1
I0t0CLY5cgbjey0cxf7ZYA5nchKyWs1OrC64CbL1dd30k3SJ+GXD3F4nNZB2WdSrgFB0ACdxvsEQ
xxo9WdWna4Z5CcHgtal5hLoMsUEcGLg1SnvnhMvKPM8lOxBnu+ig7Cj+3Roc0d7aVc8T1y3iGJDS
/sn4VmHU9EiWlOEclpt1hJUm3CMHtqk7tJxvEJv3zb7sWmKPFmYgZ5XOfhXpLC+eJ8tbPjGrEn0e
LomLRYxLGyhOErnDxuIM2rlEdKw3c+2ax8qeeB7mcFkOriWzLfI3B7DJii5ZLnYh+ePe1tGd2vHK
0QVZyvQ0gWEiDErHT1UfppuWJ4TVmdPOvGND7Ikrd3KBjNiqjIfmatOjnMayZzbmdIBwYHzpK9P+
mvj9/DuW/gGO89RSbo8ZSTOOVreyasVJLv6/bHECItzDFNhfDYJ1XST1ti6n+sY2p/g+djEHhIkT
/5pXXfiRAOBhWvc58ph0sR3CwNL3vlkFT4BH0y9lrfmb7KtDMb66FckK58SakQAvF3k2wm4c/s6n
a1vhP5rOn2g60VR69Jz//cz37rXR2Wvx9fu57x8/9Md8x7WJqyUv3XHobNGZ+Y6g6fqQ5gRLvc2M
/zrH/dMpb/o4vnCQMPx0bFC4pNL+OeNh+guzFjMHQlHLXXz0/2TG82PbDYe+QDrK5INYAsJLGCf9
2C0qRJ80GIxh7YZEa6+CwSpOIQ7cpxwDISZq2/5JC3f5C/9qR15fkN4UiS6Kd452/d1QqUMwSaSc
Q5r0lDRnQSQpYZXjzzrkP3bor6/iLQw/xmNgJZR6103sbEre2iZsVpMHtB8VfXk0TQMHKqvCRjGi
aWkbVu86MR5bJj1P390DD98+zvczdUCB//Ix5TLQRz3oKS6y/26c1ffaI/7T7Q5A9rJpRzzjvGO+
JQ6DxWgFxEnD2W9aCheKC7mqAjPgaFzFuHoYmtsfS0CqrCUBY/l2jFjcQmllK28eUzK2Uv5sVmqK
EjMzaDJMVYKVC23t4rX3tH7DF5Q+momXbmaSGw+kdJMA75JcmDt2/RLEJHsEQ07dUYWQKmniANhg
xgbSUtTMTeA9VPfNmFLQTxzGO7PHNwTh55XqPhZYswf9hmx13oFXG56zHk9Hm1x9Igb1WBB7GLSx
b58iBtK/RTHjCRkKfnCcOPe09WLocJzg0R/cvNsMbUVZs4wZcgDHNGpxicOj3S8BAPhP3MWMhUf/
otEobOD4RR/sei5OpeVD8cpCBSvPjZszDmy6RIOLAhDijbdqUfXczSywh0DkS7sPmhTa1Prc5h2s
8B5tELtJdrw6kKTZDc+JyIfnOpmdj3w7aju3pIITC4nuGOTeF13igQldjGLxWOinqAvKTz19X+LI
qkIcUEvwDI1NcGN2BYc7YisOmLj029hX+kk0/IgWTfurU3K0CSY29zrsOMpkc/tr0mHYmUp2/Tz3
uCKcn5ANcSAEdecw61+Rb15t24p9nQhgtS1rlT5WTuQznCMALFFl88XCOgHlRQLapvoBxWpM6FML
q6+/TC2Ps2d0uGTiPjuWOKrutUvtMvUJB8nWLJpiKwBDHSsgAsC28MO4FjYtAzn1I9sKRRnQpXv6
9qTA+OHweypI4cW+mO5yju0sGrL8LZ7q4TmgLfH/2TuT5biRbE2/S+9xDfOw6EXHxBg4S6JIbmAU
KWIGHHBMjqfvz0NZXRIzr2TV67uoKsuSMiIAuDvO+c8/XEXtyEfh53MhKi0nmrniiGbuOi70Zjda
7+Ys0XSx+Nn6cM1WfZRWqBSBm1Z4F4zfrSJTFyqz3ZvE5UkgEApXbi3UhuxhXOJKMXBfi0S8BCUy
mHmK83zTz0ZW498Tx/e+GbevBPwtV/WUqi+YWWBc3rAZyq4tdgas0jczpxnJXOwN0gTlHX5i5Zqk
SnOP1S63Wi/RkrS076rj6pezmLFdeBIuDeaFa7H+8fIVT7ACY9jTxdPEnPyYZl11k4Tv0EtoOjOj
8tOVjCv7kErv2bRV+4iF//CQIDMHyWbWe2GbTbhxXbK042D8jluWuBa5x6Kc8ZefUx6UHxg9OQWu
uBGV495E/eTdDHAOP9eZFE+D5xO817usVi1RI6G2eXYqT51yQNZPc6hCwSwuxKcbVf9LEuJMss4c
vCaiLio254sLUzaBbKRxP2O/gIFURvbKFCr5VUijuFdkRSIoBNBcW7BUjzN4ytqfzGzfNzYRPHMM
Yc8j1PJVYNXAY6qKAZt60PZHgmmiy9xUdCSMjFuImjZw6VfmE5gKPY1NPfWvWTe4Txn8uiLZj85S
u3uQBqPeMq2fhivVTrF3xFVjcO9JDFQrAD71xQpVv278gWmM5c3dpm0XIgcIEDNXvW1H9Yoyk6Np
qK+HJkKYwApDm1Xc9qY07hqzvDe84dpFNb8L08C7W6DArrxgdq47L/nEYOO6QsjELINNlNhLeqjs
4gvEJ2s7lISaDq76loUV6abj8FakNhFkdfKKZjklNc4HF7YGcUke57TFf2+GMJD0RPTIlqmaJLGz
jXclQNSRhKFoY6kuWJeBh7WUSLJrF371lRGJUa0Jxz76eXg0CpiyWdmScSfIZD0gAiG/15jdNd5r
HpaAxdisqrJ8x2kB5z7Hq6HkSpe5j1vfqzrItnZlRKecocMV+MpESDcbtsUw5ZSR0rgdiFA9LIoH
aVujecAFY0R716i16J1wS9Q0JlwOPnJjbeUXqRkg9DQq8zR5WbQfEusTbRpSSBSwl1YdOeXW5t7j
QzlNPtq+yFhW1cIzXCVlP+5tkQU735qea4xCLgdJeCUR3sMhmbA8oS4AkvdicqNVLMlbmIYLWmPe
ebzAQxK8ec3hbdVvoXu393A40Jr0hcSKZiAQgbyqfBWF83PowWmenGI+1XMyrsKyKJ4iI26CtT/7
ikigMZtQbFNxk7ZAcsLoOlSITntHdRbu3IGh80FwvuJywiECzb4QNvpo9tWViyT6NC0EH+MzaB/s
WSBTTVN2ldwmaDTxNGMFYk7iHYXfzV+WycmRNeMnFkqEHOUGWLI5Wp2/vAicUg+2qpbPgqSaBG+w
iLgeLzpUQ6xus8JZNmM8tMeiEiQY2GXFci9G1MZJsZVYtdwF0i0oDmCCrZJuIuVYhKAOY7WlV1pW
E3mBG1ro/BFeMrZrppp2bkxDDu3N2LUpE7ghqe5Ky+BdnpnTIcucGYH5OG4S7PQeyjCxLsqMFc9w
KD2E4xzrBGG8L6IGEU8xGfdVP4fXVruoIylJMISZqaS41Pn4lgEmXqd0yJfR3Nv+2gV3JVAUp6ZN
5abFFXkc1oFsG41up353KpfYeRqwGyZfxyMvFkixlKdUJQVoKGkN30WlbW/doPaJEwWnJq4bca6o
jO4Cwab3RHBqlm2WIssvUejI18rJffPKki5jy5XFvNJ7ihAD7ae0wGrUbGqJ7HKmEQ5Sb/zWgLOu
+3LSdYFo7xCUaNH8WBP4PlbZidRtAh4hQeQBy69KD50zdpdRKxt33c1SlivsQomxr3E+WedgGzfK
JtYeLrP4ZuMUiY2MUIV+Nlhx6hIpzx3eQ6W1QAiXNa7GscfhLHoELshl18lkg4Ew8EQ9LziF32v6
x41QRnzPcFDvgYIyISBTKwbc1alQaVahiRLezUKA8r3RCMZIY+YQBl1kBY0l9JF1RZGHw4o/i28z
iYhim3o8JPA9BmoDVeGP4qvNgFFySzG1yIMcwToep9TJVVwCcGAJuaUM9T/NZNYzOqJgrLf2iLY7
T+3ygCKjviw7RNg43UwbBOMcxl3OqAQQpiXB15O83AG7UXGShvuQ2dhyJhWVBtbK4jpZzr8iah8d
Q6fxxG2rD2XMP9/7nJokQ6teHqK2tW45Bus3R/gN5i8JgmBJmXj0E40XVVpqrgiButBJcg/kXfPs
LNA4PKKqTl0kla9OjPG5/mGckJzxLm8otp6EJHlLKl3+4nDxFPRzebAll+AkzJnCalbvITzqC/yJ
m22dZxEj/QlHfkWSAFIPvPsOBXF5d39oIj5wb3QXAxAW0jTCDXNQp37olbwBEnmpwKtmptprFQCz
MROO1K5RBIkKEs02UeoE76Otxn1GwuwO/PIlzMXXqU7gqWNYszU8vJMHUTVXI0Pbp1HDbdniFCfo
Os6zjf5rvhKJqMdTl6bhIfaRv5soRcms5kZWPMJ9EmXejWkheurmijpBJwby4l529eyok5tSRXXt
MOGqwJO13cG4Z/TtfzK8QL2TFWAiMqhRUuDioPE916femJryMAwsnJRBLQ1MiN2Ai0khImdceTAp
1LzcHzXSXC/tXV22+llGulwqKKSiCgm6i2zvk+sUCA3mWFwXcKYu86Hl3W/R6iUQHR6SxUAsFaEj
eO6coYAvUC7BeNnGU8JNynDVNYAXSc1LitRcA+pgV7F3nHxwOsQHvSHdDRdU2w8N1JQVwgZRHAIf
iQ5qmDHbxIv+P2IKqXhj4rvqr+PMt8Jx5VHpnDCskm8I2WfBKUgthWVWrvNx9UgCyl+znVn8iGJm
SqhgtjBQVhRXtDHmnq6HpY1Bylczp8RH7o8jlmeQs1hF2EjMHQVziBzsm8qHYtdlIJcDzrQbs5iW
fbz0FHKofYaHPiufA+yq18sMNskswck2HYFdFPPcu6iYmNlD3cMuw0uN+y63gSrZsHcFkscLxJQI
J0KvLw/wAZsXxhTNi6ss3sl2adto1XmeTh92t3QA4aXCh3o1TDRbflmTZYZz79d5tpyDCTvjudc1
dZ1GpZ5IwEBxl3JmPF5OA7bCSXXoZE61SM4TBPAsuKucbngwtaED/MTmxZOMhUyXylZYdC0bJC/s
PEib8qud08jjcy+u+yALUBu6c/PSxzUK7rCnIo1dl+Ak1CTsEWkOtQUngj9EYtO+kojMXdEKEklV
vvJwb9jXKWdRK1rQEHtiq8+RPrrOdiWewmEDs6b2cVJBeGkxgnuWghFbAlPpmKkADwn43GjIK3WB
D5S3bsJ6fICAT1s1wZoPdecN1UxcVwV9eZDRnoRTvbyH7NKFSIsFKNavbsc5EN+gXNLmmB5aVO0s
U00pShSXD60NXbDoXz0zf7dWiCRZGA1DqUvlTOXB0lt1ppPlRVIwCKNJfUZ9NOzmrsr9VW7i5jGM
GR2pbhqyGYHTJp3d9g4vRJ5Mk/MKOJ+Bok6AvOmx1anAtxHKfDfRT0OKWgFocXU45Z2WxFdX8wiq
cV6G9kzry/Juzf086Ki8hE7Tkaq9O3fatcPyqaaghOZAx9pWdB9El2d73HIR6EIduRxi8gbObRlm
D9wGt6WjAOjh1msAhdgitSsEjTjp3u9duKirhe1WrxmB8hKYZjCIMAE1MMVc3LfC1WIfZFPUh7wK
h4ZZa6uFCCkpVkxPSLw6zAtXBHeHcUGysAWbCGKAHfsM9ZLC9NZi0KO4nCWIlbOFaV/Fjknmyrux
C9/7xIvGJFHOH+XXPu9AYhbM9x5xZASg8Aj5eEUlTcS0iVkLrhD0y3bH0EI3tY7ncqzRScXHc4eM
t5q5CmWg54OLzr6qbJrsduGIcyy+/tw3B65OxyzAzOoGaodhGt/h3+gyJTB4fGXFS6qVZrH7sTQz
ICPMNspD3VjxvWmV9aVobDxZcEa4DHvZPjYW2AUqLbCMQdcoE4yQm9Glwl0nZs/hbkAjgfrRPM8J
fJTOBOefAs7ZZiI0YJV6bfdqIm5dT0WBzFNStm4l7mf7PmdP6/XcdvoYlmTVnDC8AAmKsoBao+j4
16O+VcjTeNGmGm2c2ly/BSiMn5l9VZwTg3wb2rh5Sa04uQkGRJ9Wp9cPxJ09JSYgkM/l4BxcHs5l
RcgsD9i/Lu6raaR7x9Fu4wcWtA79bsA7pNMpOKjjOPLp9wGvRsNzb4LE8HhVTExH2og73EKZ+Hx2
tNEqFLgXVCAubcj6PCMWviNX2cCDhEBfHhQ+opeLgx+LZ1M8VPoZYHlMOK6c8GLqFuaQFdPJre0m
I6FFlCeCsPBLsyntz0bFEDTmHHtsZCieUr8kIENHu5+hmLEHLAptEaP1TjGqngEyJKcJRkCGxIsz
JGGXacKyH3qKzIqNfcHkGvSJbMmagK+xeSYnA2CQeJoHJ4sp0XoKFsdnamgD6m152bN4zsfsjAP9
BR27OuGxl3ylm1KwfuxK13Fypvtn/nHb0Sx/IWpg2RtYMav1KEdupsnxBmsKP63I4a3lj4LaGoMZ
YZjx/TyBU9jlXGUHWBztcRIl4I0+KiFnaqMgpyCREO16iZsyaAMsAwdjQ8pdWlX2ZAcqiIBWXQUR
Y10cgYfvQR3PF8w/S+S1BRsXb3IElaSgfZMVQ/VVK5fywPCZ4lEQI2wH9fM4ety1JYAXYIeaBTkW
3IO+NKlCx6l9pCrBKnmYFQGgzP1whLXhEWEwZHLITi3lRNPEULUUAXTjwANXYbFcFTZQ5vkfzxuT
4B9eMQas+Vdv4p0qeKkccP2bb2ebvFCUQtlFMzVs6Mxtj0mgeVUjdoA3rggWfFwRJ18JiPiPzhSo
3SyL98FdGn+bShqHM0AXSPHs2nQE2GszH5+RjuLYugwXNHBcMd6P8Bv3Q+g+LV2C27VGwHFeF1sc
ofiyohnCYx/3zR9kDB9T2qlWLdwdmGYGKFCwtvvAih+Y4VY4ivd7NwMcJsli8G4COJR4m+E7pVyO
tjSi+O5he0CAbPCXlJ6zR1b1nMQ1vUvttEfpjOpUT6J9hGXp3oyZPX/hSFj+xIpmfiJ+HUNYiFsc
rPbQEMDK/PBjQyxvg9Fw5N7IHFNba/uflKAXw0w2vTEGGhPQCgpRUj8ghPTQbkygjCNMkOYlF0Cr
54f9+4L/PJX49Uc5XgBZRP8o5DsfZyMJJvl2hE8qIjkHLx3UIjHePkOruTDjRdcN6Ybufdky/QWb
gNbdPuaCp0sAJJ2cOxb3+cSicnR2IgnGzZvIMJwIodtsOWUpDI2uaYne8IzN73/5P3QqqEjOTz8I
ECZo78KfmfKdHRVNoi1ZCWNuj3EEbgNyr2W3MPfuSg2+Lk4bbkbOxGepeIuQxkxfOPTeX7OX/xlV
/mFUiX+R5nr/96PKr5mkoJXZL7bef/1bf80qQ58Yey2lAY5hC/w8q4xsxo64B0WRy9iO4SM75l+C
NPSoocO6hb3u2lh48zP+JUizmXA6AdRrH2gSFcV/ZEGjN+W/9wdCjMhD9oH2zeHTrL8pVdFQpcUA
qecHL65jRHnrWUhQF6UgaPQdLM2fbtDtj4/+eY73T18Y2KhsXC0R8C09zPxJAFJw1cIWlXdy0Oxv
rJGaa9FCG58Eon2iICn+/vs+ShL0BWJ+zv1ib2Pm+WFsSXjWIiOUfaegSf0XLBGt6zOvTnq8Kn//
VR9lAnwVj5pnjXaKIfLHwW+XTmkyFJZ7KjRdOAtQ1SHhpwQEpYcAskAfDoocaoXmlP7+q//hKllJ
qB2RQqP4OytWfrqrU0uCq2l07knaKGhILtKKIY+erILpV/1h3vzhaDovGlagFcEetmgfPuoh5qaU
VTBn7mlq0B3CVoU8tZpyE97e2AcQW2oUA+kRxyGYmaqDzwtdo2EwNpcZDGybad5/evk+A3foACEz
/MDVjq0/L6rcSqHkJrF7CieXy40qTnBTT4P+P78L+TgaUZYwC+fDgkpyxywRY7sYPE9Qn11Dd3bV
fD9oBuDvL0vvhV83p4/EKHQxm8Vdgfn+r5eVQRyEKTO4pzFO36Utoy1cy/9UAMaLmirDts7/yyn1
YUMC3rkBJb97It27OeVYQpL3SM7Y2oIm+CdhpqXvzsdLcphi2SjjuYUftW8kT1njYljOKbczeIBn
rZcVGxAFy47pW9gWkDd9xSbV2jiV9s4BNNI5/P7G/sMKhjrCsWfqrepCC/n1zsa2xdyQduc0h719
dHBuN4gWpU8RhmSFwtGstkVhdz7hWAOiy/Pm9bRYkxPkT2LZv29efoPrRC7mIBxWH1VTBXOauSoE
mxe3zPszpW7CsvME6TLa/v7C/+mrfJz5EPvpUu3jippFCBs4aJ1T5nF7oyhhyxLBwFEf+jz933/Z
r0c9x7frwoEJIpc3y5me8utNFmmPIVIrjGMMnXnB6KNDEkeO0dMyhfPtWCtOh99/48eCma+kVoIF
4+ObzAP+KPwVxeLaaHOjoxnT25NqCodQ4st47+Oufp8xOq62Z+JiGuYQoBO2VAWUdgoMcrc2OGK1
+0U7MJxPkB+sdLVA/IaIiLXXJtMM8t//ZO9sBvHvLYE43cc0TettUZ87+GF8OFCwJMgBVBz3KEuT
UDMdCNboaLDEksWA6xFpsskaXmNHgFiTC+VvLT7sroMHTpRTXkKSjZkoZKiEGYwuTtW/zdip+Ksf
BFwbuVW6gcQGYdyzmPHjBoRk4czPLEns2AOH9m+dJv0H8GA6vMqALCcbEL/XArswcZ1jl3MDVwpq
6i0OKsge4LNED/2CQ886ZYpqAXZ4fLQMUqDDKkr9Yl12WYzj6JA5OOjXLd8RcqcJRkRG0gLRMx1z
bTx5tX5Apg0rRLggqsiL+uXCgB3o09QiI5R9QmowgHCdHosy7d8QvLVPgahtcaysTN1bIVWLAbQM
LV0USfZsqYhHFiyOXxSrCSr7Q0sX+0Swnf9CdB+r3c1t70VZEVoeS+g3NI3sC1G/9qtYYns/4kV6
3/l9dcH8rCWwMSHkkPN3JNGEYIhqfRZKgBmySTUXA/teY00S03xfomx8wIYS9EGLVc4q1zOZFlde
7g8zv+BeymR5sEdUMCLSzOWzL4gFc+mtqBJAYB87WrgyMcSTUHW48gjF38IxyzkwqeFTKs0QXnru
GxZlMEjPb7maN/VOSB+XV0ZTHTMGLFdRB5A5Bisr9V1EVLVaAuw+KUzOcuKzTsjMbYi6CP/mLYbh
KBzOWo42a1k1BYYpL4FfcDdVnose7nKo6vVownzC0pTz0oCKLy+YDKJmtWetVacfK6ptB9D/5jcp
+68xE0VEyxJa16mBRm+jvAr2ONojoAKGlLxvfthvWbXDWiZQKnqQjIrlBd5nobb9mW+FFfIu6vsA
HboqeS+vkP8BURChCiUpKBcmvhlq07FpvRcf4R/uAnUXlRtPWd2nxFns/YJfZ7CxE999rsex/hwu
mboqgbg2rZwbawXd2Ap3VkbqXVYS/JaUWvUkGSVAEVqagWlE7CMkWLIJYBMJH8PVXF2TnWueGMM2
AneQKFpnnkSThEJrrepFfS4gK26JLhHiWIDnUBn5BVkgpqzvYLfjP53HQwW3uevfQ0CJg2cHwzUO
9AM405xjrELws8CASgtQJpMg1VWPNv3RL4tO7nBh818xPcEuq6/hb6EpSnZQBAMc1waRbay8qS/G
Zmiuo3y0JgBQmT4nWiyI05W4IgrGv0AyFZ8IAAnai1BO/pNADLDDyXd5xjWmOUIOShTmFO7yzMCo
2OL/t6ylNfIYw9gb16Dh9XPOdLMH8EGdWphdcKGLUdr5GXkmzsaVsW2pAVd4WlU7nJh6fTAhWGpA
sQbUCQeU9+KQd6ncKW9Q3+OkmbapkRl3KmqqR/gYhFCoul+JOiOLu2XkjKXdS9CTNxKiydnETJHX
w9hZu0o0fFBoIJVBWwkqEDfNquhw/QKuRCrXryFUB4636vAhSBr95MV0SaUb7m3HUt6mzsZp5cYx
X+SWUbxxh4RpfSMkCiIJ8NMoA/pHM3wRhd9iM1/LHcCGQtRivpYBWXBRmRFeG1nzThqxsxlKfkdE
2sUdb6WFZCGO90vfbUn+TkyeaIBg+hKqdH1r9oO4xQmERW3A/uhfzjJHw87ZEkT7evO2EaS8nvxZ
M95tB97LmtO2f0s6kwOpWSLrszIXlqzZI7rrAlw4t+EwezhvZemM9qPBMnxVoRpcGE0ZzVNsufPt
mZwfkGy472XE+zgcvBi5le02p6Yr9adZs5AXPyxDOI0pzLQvESM+Dm2JAm/jj3DMR+Gy9Qdw6707
u1hYnHVyQrBsST0cGzBMZAVPdtMm1HMploCWQ14ds/BUiurZI01RvCsxuloFSdBZGfSSsbA7fUc+
35IsXhjeV1zsCbJMI7mHqQn4DR8lG1Yl8NI3OfZgSFhle26WEKWuOD4ey8UYjE/ZIjAZCvFIvh4h
9q/9Miu26TS1+9zwl52CKvAF0XUVrKLAnb6MXlfdA++82+XyONuudVP0Nhx7IoxKghdxYHQHYb8l
fZq8wQ+YPiUDAPotO55BMhKSCNVUMC2w7rA8XrWlDI7g9rLZzFMpGIn7nOPrAtsynJ6j2Ty5baOu
Wkkalr/MGZFFsL2slc9TIFoEPOHBqEfSlnE8K5lRdi6khKW8abGhvq+ysF13DOxe8YYutw12cd+a
yB9PvS8WxAOxTRyyDJ1sXaQIvSdi/gjibHHHllHsbfIqdI8oq7/Fwpg+TX1SYPkxmFddlnjPxeQX
ybor04h3pc41Qm6TXEfw+6+62XOOBqi+jxIlkS92NokT2X+4LWbecILEa5A53IMZX1gceTuDYpY0
GCjF8SqDlTfvUmxLPvuFEPuxdpZPgMnxpamG5a5PSZWKxmR6Gsq+HbamlG52nInKhNLRYAewCuMp
LK79GS0ObuoDYKNXG5d5sDRf8GSyo7VRDFXNmDswCyQc4XQ98YZ/t8ZWXg2CbGo8y0FDcwkBRkQp
vAtGOM4h5XC7KFxMnlC/CnShyRiMd4k9Tngrnv3I8aUl+nHunRXsde+SKGuOUcfEbnrdipF5CDak
Q4ylXWNfAauDO6uotcJtWAYuB6I1fW9sf4h3kcHEBG6ae3Dd1t6egUU5BNm9rKz2ywBX5CEslbsd
obOtl3yGHBT4LoN5FDqrecmDDYG05FMgTkrf8BLgPdSbZATExpjB6eFW3Y4LfUrNVJ6BO/Z2NzY6
Zviyk4GlXg+jNwMJ3YWG0wUrTGu8XSsDXIAbO4vkxcDafSd0af4qQqd/nTxsgScfu+6dKfwBi/LS
gr6bM6bsVnGIxIhcnZYBeIrxwj7oxTsM8eRW5sy7iPCV/dGZZgLZmqZuGYgyq8Wrr+sw4KyJXC6R
sNqmH8PPTbTx7qLmGfODhpGzNxBkcSoGE8GpG4yPKdJaHACYJd4gYQmY+Im6vKmjsuxXtT0beBw5
PLUfqbnVjwzdOT0n6p7r9f/BQv+AheLwRmPy30Oh/6dEKg8W+MPl6/D2v//Xj3/jLxjUsqP/Qj0Q
+ozisZsBNPqXJRd5h/9Fo2hB6PfsSEcZ/j8UlPweyP789QCDHgxqdDv3Fwrq8UceIGKIKgsMBlnC
fyLZ0P5eP8MS/BxkjBBOwbO4TqYFv7aqZNpB/R9M93tqMid9x5srdszNNNlG22/6PrfVA64vxGtK
5cAdlMgCvNc5LkV9aTUe7MadMFxG5QXuzk2xqqPYZOIFVzKdv3QmwXbwT11mUP4qg6k+GlBSxpYR
qFMOanE2CE6lfWNRqrOtEux2J9jwWkZdokTFJ8elobHJxB6AiS4cxsqtt4JV7EXdumQ6H8a7esyl
QJMuSe/5E0L0EbShMcXCn+EO/8HQjwHPr3enkb6Fsmzxvgs5jUjHqiRImW92ruMUV1HiRXzlbGV1
9Q5dMVOf3QDMu1vb6dBxPbU1JX9Sg9gfcCQ/YhpmMdHxQg84I/oIeAY0LVUju+TNgvgJBZLXfnFc
4OZz9KVkekz48sEFsbSxgAgHTFLw/w8gaoimeGlmyBOETQy8tI+lOUoz3S5xsuiUiJlHse3pbJeH
tCMDY976+Ar418tSgJVvK1IWcIU1E87s6A/jvg9wH7CFXoPoj00cWhkLfID74rSgAKBO+m5OGGd8
8urMaO6rMm6W25925u0PbOFnDP5XKQ8KJzaNh9ud72nLq78FF6iyaqOFQvLN4WlbzlagfXYJ1jTZ
4bMT5O7NJMkdSVfK90qjXwtSecf7IvPq/P33v+QDHqV/CYbR2i4I2AbM5gP4aBH9Z0Zz7r+NMuz8
a0+ovCetAlFC4ByRry+e/5/eZAAY4C9YxxZUQO8jfEuEiBHw9nJey6HtGrVplcB7fzWGS6ymP3yX
3hf/Rnb0febgIhvCYcETFhB8eKA2LscFgTT222wlpFl+t3GpTNNDDPklPya0qtziUvkDHp+/v61/
W0kaLcaMCb0UVmY0/r9uWMwiZIdUVb7OZjSESKaDMhzvY9sgHPgP12j9/RFitcggygc65vD+iF7m
TWMV02hXb5JgF3zXMzCKL6Xdc0aRUprEibiZoyU2q8smw/nX3Hoj4riHXAZCOBDtORDRAOdxFd3l
uc8kbJ2O2vO6gPEYqv0wuW71J8T1bw/GCy2PaFxGF+Q7/G3qZUVFCFhh1q/4TXX8CuwJi/x9tJSB
mU5T+Y2ziasR8e6fbtbfHwz9PhgfUxobVPTjsRXDVZpF5xnfSEKz6KSjwMuoqoJQpJ25thzCoMo9
26QIXrBGwxxk03ZdFxF6hZvX+DmrlokYcqTVS/+NEIc8Ionbh0vmoYH/c5pK+PHZ8gMDaGdskygk
IePjs/WSSXQViS3fyDllGLTK0Ykst9Kf4YitFgWwM15EEtDp2kANxm6SsFJ5GdS+UhyWEYGT6pUF
WOXvvkROol9/eDRMRHq5Tf7+4wAmhpPTxZuHxH+USUS3vB6roGCljjTdPJ26631ew/DcRp4IXhr6
iDZkmvKFtprL8C5ORT8/LUqXEKsWTjH3woYXziGPnsxv853tth77u02nDDQJiVT13Z8wurVWTh/L
5ZbtH3mPNfr85QFqUc5v1IlAOPBbmKo/MhoReb1FtlYuD0vvBOPnsWv98R4GesnfxWibE2SV4o7A
M7NT3DzJrHB0D7jOHWGw0eOQz8C7l6S2NNnhseXX3oowB1vrBHHc5a9kfiArH+PxOe3v+imoeJmp
ds45gmVHSqkiPjTiq41sivjrizPpb8PBVvjXDvru9qkNM2/cx8Bx2VXpYhlwMVlyrk9pa6jhOMxk
mZGWFcb65INta6lTOMqUl6UZ9/qd2YaAKd1ehG1PuF6DQqwoCJI/X4CX9ymXSuRm5Ocb04wNbqhn
1iw/OSf6ECurwDSqbQtQxv+gwoa5s5aiAG/86zNa0QIeQ5nysnTNkmumeeWki8c9GJxM8dWzAFM+
KqfhmpIfd5XsBoBgvBnEwF+Ypj4tjnXZDbASITzqb3SMgKoNtgkRYiuhAnrqDQe9Xi4NofX5u1M0
NYuG2Iu8uoel2ATBLne0c+hKkH/AnhrrCPyD4BG8gBRYrskHgqRZcbDrk56x9dFw5wyz+2oeuYfN
DE5ZQmhmJBl/CkvmwvmGuBF8iiB81yNie1Ksde2WW7PDnymfapGLyCOsxa5aJx7rZNsYnX7ugT1y
Cmy7BT1LhRYm1uu3w3uJf0pCurXxGMnR5VMa1bhshSGHO5rz5HtsQbBZa3p+kuLq+T+nIde/xYXG
7vprPwjYgoq5GivFWXzf3Y9+6PDzcuADXbfFo0m0nWTq6z0SUME/rCMHhVlKCCTJuuW6HSvu4EB8
PLdzCbGVwq6ZEtDd5/1MP79LTF8vUV1aj59FWPPfdL4lGzjIe84GSkfME7bulLHPVacWfXiguihe
cuIN9ZZ2I/2hZFxjvI8LDHUjeJWwnPFzkOGyVG3pCYVU+3E2aS2vRhBgPrDtJDOQ9UItple1k2Vd
vxFFtFjefg5LLWTLzc9RirJq3FiMjvTJlJa4vO/AKHaYEyTC2fXk37nmhrUN4J2MplhuPaVmln8o
Q+Td26iagB8pFJh2X/ueNxbdKjV1OjlphrmT3TQWRjNQabXQkdMKkbJp7Wz2MjbTmWQqDoDatX0j
13MppTGdEBsH/EbGnjyb1oVs7JETZzGsWtdxrpLmE/On2K2vG9lExKr4ZuZO5ZaDmONmSwufK2wj
BFo8rVf1Q1h92K/1KTzifPASDDEKjln/dZnAoVN92CqumZiaYiGZoEvnNE0uiyYdrAB/7UjqxZPl
+kgJYEG2YleoWK9Lc5glayh2srZITo12Lxa71h6HDqNFz+GolC0ecbAMtEq2Xs0mJL32GhjZ5sjN
63bgKdUQrHkXoK2e+KyoNfUpCGgasXLNTMT9uDN7MfE3aWFa/qzvYn0uFeZYzXeYw+iKMAWI5XiC
eexz//rU4HRAyxywFyy7lyyokcRT3Ld4+q3yTiHeTe4+LOXCDyc6ZuCrXQuwU+w4LnkdwcIMeMtX
MW4bchu6pX7J9v3QshxnALsGh5ywU5wPKkwN92Y2VYexCEeU5+5Fi4FrusVZEW9Gchl1iWUaBHS+
VmFLN/JXH8Kpr2/OhBa8iS6KjlMVJ9A0nxzjMJCu2DFoR2GyQTpRx1vXHOL2U4xYHO5uw8tfnR2T
+cVBPhncJVLLAzZ2jnyZxRNmSM/Qb/xY1lU26T/DA89h4S4Z0jccnhudM76WRshLyyJjg3vsBF3U
TZg+lvCQVwHphuxcFyg/gI+Z4ph3beOdnIMQFoxwmKFZyn/Ga6zsPpnVXH6OkIOSP9R1DIiOfi1g
A6MbGsQrhu2tgflRZbhXMb+ULPBaZO1zxpm77Iqgbso3Ny+XjkAcQttfpsUqp5slMkgRIfORyaBw
vEkQyAnDFA/BFlEeZibT5IXjdddiZ9+scBCprEusukBw47AfrXXLM+o45OewXYjkq8fOnaGRo4qm
pF+6SaGjA922oxVUCtU/RbY1uJ/8EuPCZI0mvJgR7pa2ihvEoFx/zDpFXnroU95k5TpYymlZNlFW
Lma3i23IuaeZzTGs/L64wqPRErsxChJn41GgLZ+T3E4bXnx+HxylIkto5bi9ba2VxQmnkGH0Mtow
DgzytRkEdrdOvDLZB7bTb9rGnJZTTNa1eWFNVmrvYoGqol/1TLcyLBwdz7gVRVO5XwbZEr9+YWLb
L9pt1Jjz/HnuZ6e/MpgDGfck8MjloccmBrJ85/vdFwQ6Sd2syt4POnERzh7OgitzxGZug2l+WVzE
WY/vzdK4YQUAWzSOjZKzW2QbfrOqPKzfUuIIxnlT+L1qv0c4Sw3DeiBbMmAUIb3evEAe0nr/l70z
W44bydL0u8w90rA6gLaZvoidwV3cRN7AgpSIfYdje/r5nFR2i6E00qquy6ysMpWihAgA7n7Of/6F
PA7I/ZnYBvhuiwscGLU03fYCxWcW/Yy8gsmmgYID14ByZTiEFQomyZ1FvFBj8mWSq1/Vtz5lyKa+
YYVWMjsYiEjmWEKunVfO3TA5VWWvqgBrACz2dGz7093Uuw7VWKAPLJhmnFStiYtLQgUFwbpXx4rP
RsLirj1VPjYc4CyHyBZqh8sdXVWY2D4HhNUkSGhC0oAsVLfe6VyHGiUpaWc9R4+DaoVThukjQuYt
w1X+TkZApar+8JlRnYObwJwBiiFnIfO3ss5j8d0pWmiEW6N6y+6E1QnWUMnaYZt0WoRJt16K1625
RYtCFYyAQlXR/jRU7GWJF6tDg0y4YOAMz7GwWZO3KmZr59soWZsdml+LPSWXOa4IapCJ797ScRDo
sSHmmckZPWCrQWmC1W7HDaoKV52cDGBHPimUZpdrS6J0SvyxYJPzeyXGvfxlelIGrKXWKRs+f4ti
gx0ltYnvZBqSGMRQroqgao3m4De+qlf9oGe3MTvZiGeGLEWJ/VSCiicsk55jsasg6Vv7onJVyRL5
nbpHmP2LznjFGR/D5NWQGb2EtsE4WDcglwVI2Ra+jlVZfs4ePqkS6Q3uEW2uTqlfJxgMM+5jihqd
HU34g/r0hhVo3EjQ9sQvsT/IaToyqXFj2WYS9Qlkq0W8Pn/fiblmCS1kZaGIXeA/zt9Y5p3I7VVq
FJOHGEvL1KsYQyyiZ8nHwPmOjzLY0/tj5MA0jHvaP9ndenUw8o0txic8I8lgy2guCsInhuhqhi0X
+I99ygw53UWVCPPhBMak6G/JsFBVrDFXCnyCodzH0UmlF6qo0DsM0AZMzSbVyHui5mXJweuMEQsN
Jq8dUj6TKoXwIVXN9wTsNs5Or8K2967mjvTQ+EyAnvN5ptlW68Cy0J5g45tSZN5mBPKxROq8VoAX
nkr8APY1qlAzMlrjuDbUC2YFMq7NbW26zOFW4fvpGvV9yKEp8fRgQVkW+hhMTxpVb3ZEKU/LIEsS
KmudO5C8ImYu+AX/Xf00VUkzXw2Z53JcGhGfy1xGkatKw1RINKUrw6rUp31fHmnn8FwyOSCe3kLu
sbr8DLV1Hz713hBi3QX7iaHJMkc9x2saT9QEycZubPXuZgV+BucIR0LCf8IMhaHEXwR2OEUt0gue
rUT1zbWKueEr6FUfK7CC/MZk5ePw2X9jVBE3h76B2JIvoOhUHZvLNNjWmT0goC+IZDR5z3C7Uk0g
U0k6Nqao6oG0NlLDKxpPnnM3oZ87tTCUnU5hCE0jsyk8HdJDHxkjNyV4r3zaUO+pNVqiy/m2MUHZ
FAa/OmKPrHgKgzEM8cdYF2GN58oGQxWAY1x9tfHF6tHnXOEIpOtLLGkj2pE+asKW6DVRWfIW2aUl
taU2GNx/jUhnVbMLT1VhzWioJt/FEob/GDJD7W8DJDQ8tS4H0GWgSWgtfIemdwpqFN8p53vuutpx
Z6OmZTypmaQNreofeJ2Ew+WB9oJZbZUVe7LYVa4zdtG6cEde/R00nohWJfWoo96XXtFnqrTKtBzf
Mfx04Z3Wq67vW/VioGjgYzJkn9QridJ3KC51eyQChxsyq47b8fHxEMvBcNUSp1sOq3MB6U+5hA9J
uA2iYpTXuMTN7QmTciPbea1JT8HBptnUB8zYe7ZOuBYlf41vdw17VVIXqhJF28MuDjPkrWvE5pEh
+0kNy4JNioJfimULcmVma8xdVBf43lhkwaw+dDmPwxQuWWUT3KPOm+l47d5LeNFpknTe/iEqCh5p
bEj10SVO9mG+JpAmIAAbpb2NY2QFOMIPzhNvFLwttWF1PEaNCEdU+XFBqFvczkwGIqtID1Y5qg59
et85/LFVhW6OKwzf5XPs8R8wI3INIFsz0EG2cgywkvQI4crPhucx6FSf2cMBipyVRtBh5i9a2fB9
v7jkMaoGTIWtl4PzPMwfj8LpI9yJyUrh6Z3onh1BavNr9v5qZARtcnR9/u3+vBTBUdS4SpABeH6s
Hzdx/Zh70IlnJtlqfyqFbeFaPbJZs3d9fq03NPB3/NgAOnZJZoBlbMFtPp67tLqB+XWWWs+jleNg
fiqj3ORNdMj9YxlGsPU5C2cCtNODRATWAqL0We1lS5gi9N2gEGqyQei4Qnja95351+yjaELVIhSu
03Im4GM18KvPP/4ft0qZrFHYGoSIGAYObh+fytgE5AEMrnPoYmPkc3BAqbaQw5UW6vNL/fHOIeUn
jBdvax9c1TvGuymjYrOggDr4Eekl0y6YcIC/N2ZYJCZNekjg2xdf7niEghzLIDsYrj/TBPMPAnFT
t5YXgt8fyMNSe1SHDfV8JWN29m+hiQXvtAp86n2KiYlf/8zwbmsu2e1y5wsu8/FtZmrqENSipqos
N9y8Pt7moejGfvBD6wlMgtYRM0lQKo8gW3bAf+0umwhF+LYW2gaXCdIxeJ1SGHqWkRhPkiSw9Lyr
MtWaxwmd2q6PFM/0CzrvURSNa6IjA3ZmyIsbHEXT0RuET8XMZjI1T03BnChaN6Siss2xKU4816Cp
M1xdoxgDTX/ppk7Eyfj5N36TbPy+Aim1ILLqcBZdxDuOZX68uXSJUWZUCB0JNZjCYs0sa8YwpkZ1
n2zfy5a+iVRpjA+g2r9/geIawg/ai1x0BefC8H5z8gSuCniVo02sYtzWLLqFGUkpR0JLVL3Xrjyr
07xhERtpx27tDo46LHsyLfpyhfWbCvy02J2oRTpXAh4ZQzMOpEemQHRrZKux2Z3EjJa9eVWmmqqt
2h6W1oQrMn7xwMjQOnlmooqpbdzWUkd8RSQIH8t9B+hbSnt2TcjvqmhK0Pur49U0VLEcJMTKgtpA
XuL+e2GCdQv5BCO0p9OoSIFlP7/9x8uafc8kKotAPh/63R+vtqSziDRcoh/LqLaoWcOqUy2QP3eq
AvgFWX9+SbVaPjxwtlr/bUaDNomAmqNRN4Oyqatbb3j0Q6EwRhljonSOsstMtQu91fkEihkoaaJG
iEM8CFjY6tN8/jGOvzlEcLjzWJgivmXNvY2/f9PzYMhUDDzL6DEtgT/3cd50+Z2ZDmZzZrbdFxKp
4x3EojjD/dKzBWIz1CZHL7kg3S6OqrZ96mtMh+8J+VSvBXxfVVl9/r3MoyXN3+5BV0Im5TJ5s/Ac
+7igwmHUswzHvbsCC2JvFQBfduEGUU1MpxsnA6fDgoF3zj9cABvey9HB15lmzcEQuwLWBYKh5VHz
+2ogaRkcYbZVoR4jNv9OwDarAjJ5pGCtUVMwgNdh0B2d9J5QMHGaMx257ZGg8OW01OEsQmWpJkVG
T+AKXZVB2FV9omnso9kGlmpon39+E47uN/cAW1BLZ53aLlnyx/fAgabv5wLPXJkn6mQOSkYV6YL8
Ujrnzy9lHb3P6pmyeSEjJXgOXP/4fUYVDaZq2MGtZ5dv15IO0GlKjKE6mtjq2YLeZ+8ZJB3uQjEW
CiX99aumlwoh0Aadm+vYrsIz6QUrdjozJw1lONHSRGrzWctSxc0irvJ02JInQcO0TouA9jjG65+2
5Nfgj2mRGiJpZEKwdmZPn/m9vszVA5+dhKtob9Nx9x2agDenMF5sBNSTTAyqlmHhQjbnuXdNrIDl
XyM0ViTvbsLMg3MvCEA54MEb+QAE8vkt9T4+Ptd1ydnBjgzCksNZ6Bw/vppv0Hu4Rb1kveV+TxqI
6BuT8ehOpB7mYiMShQ3ce/8Uv9IsWFU2ofMY3mX3PYkiRFd7smBoGloLX5tU4HnU1XcB/WsLGRfd
/zLyenMX+8l1zqjtRTFr0Sc0mOsvmeWIS5Tt5Wmkx+05J1I0q/iMPl1pbWI9zMyR+33QDIlDOIGv
28TWOOm9NmsdzQGp5MOy9Zsrm1OJkBTM/M/dqelXXTXVa2bi2T3uVDYW2iZTgqTCoIZDZGCE1xnZ
E6wJ5xQlCjR8Ode6AQ2xcW9NzudDFZWGswgaEQFhhG27NZOiuCW7BVMqCz837NI0u1hp4HaPqURz
kWlVcyPstqUsCuQuwTVzw5hgqnAkYLiM/aQPE1baeb+HT7nuBh9WthclyYNEBAhqHhAV3g1NeTsn
EkjMNjTYwJpmL4mEvba7SX82p659gnJNEKp05DIaRX6aum2MNcMUfyXh+XBm8EIwVmYzU6bCSqt7
HAdWAv+4tRMWP3hexC+YaDTWIis7glcbXdx98fr9w8VciHLqmKeGO65IArw36Mn94gcS1ByO0Kjf
GgX46iLP0/PetiT9H0YA14wI3fSLeuyPN//ta8LVYWTDJn7cj0in9cvUbvIfdVHQuCLlQo6RW/iZ
fXFMvP1N/3sMv91SVHkQD3y8PlDGHR0To5mnZg9X5ocxKDMry+S4WJQ0PPGKBCL3W2HmgZJzaeTJ
Z45fISREmL8l+FUgMu2gfUHWE5eNaPx9odXuHectugFwxY4EXooXE29csjY6w75GAVm85pIYsQJ4
9ro3J/PBT+hTF0Zp6Bi2pOGlhaQpWmhuLkBvUmZxBjqgnd7404+kDPHHrWWzwRdPP+DMhGs8z++L
WuiIhMctUWUAZRD3BemkeVwSGJrbjrY3zT8wz+LmRxjSba0yybA5HA+F4WePluaPK2mGDD1whxE7
u5icYvX56+d8JN7xMVxF1lR8EFQRHONHBZKRBjnjg8j9EUoGB8BpTYrXGLmMK4K6Z7yH7XzcYUI8
Suxaq5xpT5nvSnCrczK1+g7DoVC7nI3Q3lnzBHDWBP5THoOnL5tUO48x2MRxCasnK7duwUCzy1Lj
oS0Eg7FpOXcjY5ekbIOlW/nuN8rGvtwMdvw6iSS+sFwc5VCgOLs4LKvLHJstFfDdyucpi+QdAtv0
Wis8DggxGsPGMrtBLiz47rcDHtoo2WoCc/poNPwFFjGMANykThiEcCbe2I7mnWEuZT8YoNr4b6ap
M37x2n+kJb3fW8ytKXsF3Sy2FR+LIwkkzHN3gx91bDsXWKYm91VsTdjW14V+YQz0El9c0fhIfH27
JLUBLY5hWlDwjgNpiT7Jmpyj8ycaHnsPbIZBciAn7RSgMtkwiOjY6Qlw+1Ehe76Pw7E7i2Nfv8Zr
ydp8/mq9CR0/LHqXUpPt0ySNXXlfHH19XDed1guL4mc4MmCgby+Dp7KZo35V5xP2M7qJJajMS2Ig
yHeIJnwShbOLoMOuwEl8H0MhDVPGphTu97jLegX9AqEXWhudpyJud7VljRe43KJBISDaXiC8MYdF
i87rLbo6l4vG8MolPmBOtdW4LZsk7bRzXxg9PzC42tmbenFCDlWsEiI6NuHA6b0s8eU9yxnzUlFa
KO4XWOsVUEqGhBkuQ897p6c1pRZpbzpzLE6iPLOaReNCl+FNZFy0FKB+V5YfF4xcYdSNynA32HQi
y8IlUQrV+VD5LVqFGB/UJfevNE6UzKvZ6uQyPHRNGX+XmP++2jGyajQ0SfAV8PXn/oM1vg9pDuoa
tuV/4HqWySQ0HYf0J4m/OmKZwU+eYXlMTA15ZPRU7o+5lcGJKLTnqU8GYlxEX+X/xguLRQRlswVz
lTjmI7gDplSbtyj+fgZYT8rV2wPBFyfKzuJMdMhne/+2bgq5Qd0WrLG2HB8j/FQr3hN0Sp+/sUcA
3dvq8WyFLbN1KG968+OCnXM59CXROz9DVxc3tTDab+QsaisXYPeUc1FeyKzu9hWmBCfZaBnnXeFy
kLlZN15hrOdBSC6G/izWpPUKc752Fh7xRzdffMqPPYD6lAK+q8MShzNNU3l0y8iinHK/tuVPUO86
vKOycNolSOK0kHj6X5iiT5kptbPwVl7jlK8R0SJI1QKzGraWW7b3jp+FZ7o7pHdmY0smJJwCmyZp
Mm53mOAkVzPufX/Q/9FZ3E7Vz//3fw4/ciwAEcA08Uv3u2oCSwLb+u0Brw7d4Zeo4uKQ8yfPD217
eEHa9LPr2n/4k78EFwK9Bcxf5VTxxnX22U1/ZaC71l/Ms8lFhxz8d9r5374zypIGji0+Go4Onq6M
Ef72nTH+4ohQ65jCj6qM0I3//r8v43+FP8tflPP26Ne/U9A/AhwKqjfgCVLgGfy70n58XDkwzARG
3FoFjyV7jbA53WpeiT7M078iYf/TlUxduT0QRG5CVf54paywC1tZdSIBpHfM9eqpKthghyCSX5TH
/3QlrsHkA743ubvq938DbcIO0XpTpdWuG1K5DKR+2fY5TUD9VVf/DxeCtw80RmfP1zquE3o3w7a1
mavdhJdZmqWvgRa/Jvzzt/fqH2QC/3wZh6HKG0xx/Iw64h7ayBkriGoqfNEDHWhx0lsiU/g3bh3v
KoeLgqI85jlHt67Sc/AJvlEf5M3ZqEuFipj4X36pOPhYY729eB64PZUhwfA0MUdFhtsTXNr5A+fB
APQi5PRtCkfFjrqverKrPr+DH3feXxfDjAI1sYkj2jH6ohlOyRyhrHbYW2MsjSRyl0ALWJRafNA9
HJJju7EWBlLff/1V9Jg8AY1RrwtsNj/eT9GUOAFHRQVVLS5vZFPDPPU1oAAYl+8b9YeV/ftKVjfs
f6u2X98RjzV2BaxLWNUfLzXLRE4xNnU7TWImkcsKlrKpBzef38l/ehcBgv/nKqqO/W1tqVSfnkaA
q5AnfWo2432fD8W+aP69W/fblY5u3ZDmUUkICy8I2qwV5dlhLoEhv15eRxUVd46qm7oBWr0QDt5R
R+dyKEnZsDGc3HUqDMzRiInrxiRcDpb9vY5dbYdXNYb7uIFvnIZUjrDpvmgqHf3P+4qBmIcsDzBB
ddxHC68McgfKV5Xvqh5KVqX3HOQTZPqr2c6nNTI28FUfZX0NGEa/C+z2lp0MN7nY97UjGK9j/8ro
IZRIkYvh5c093U3Q1PoujBXppq8TNdRJOBv9eeW2ZNBVM3Y/po9vXlnxI1MU5Gtcls2l5NDauWOd
X0+Nbz6krokhQpAET32OP+RA47kLlIq+nAp/OyQsqdQdBRXyJGlbMBKE3lCjrO26CK4+Sqp1h0nl
TafR2uj+PLzUAQeN0Qk+uzC4SoLMffAol5eR68HcI4FVf07SSFvGLZ/nLXkth3m4Sski3JTwhS+h
fQE9OoQkoeEj/51pVOaPC6gX/lYEGJPWOiEQ4AHeCr8bbZnrfLsZRg2uHW63JJOHyZXL/kY4eLEW
eFUs4T9AjIqqEuEDWps9uBc+Q6gQTg29K1eecrPyfIyf3Ew3H8Kod07H0EieQq/M7oEj4i3TyOqx
Frn5AEEAPw13wEilym0585l6+iUIXgiVLbgSFvRWGxBPw0r3vh08uLJam1+TDtw9Bdya0yipq0sh
k1fd4JlCJjcfci9+HdshuOkEFhWD2p2jFrsgiJXYVTe4ffL6+n4WXSUxudmIllE3G3xbEpGIxgyx
JKESoXklCK7YxyGd6AJCb3wRWpV/mYiweBUauXxGmXATCfQsVqY2YFL/tvKyNqQz1UmujchPxM2A
mxBI2vXZBhOlSwvx8kDatAghiz/5cCsQuTMmCpxIxep2fTljj9CIbBtDlKvODdlX/oruAFUx0nd/
bRog4MuiVDYnAsPmM62M5wcSdp1bQg3yV5P4wD3fEd4NYSMLnMhwOYD7do+i27i1ipL3x8EgFSad
DTsce4sIVEKOeLo3IzA0KWGqZQ3GFNWmWYXlQgvxiyEwx4dA3bDsbH1GEmpzys6T72E2W/Vy4RB8
HUHj1MJ+K70iOfjIUTd+wToSLqAjNhN9tn3zjBrIp/s+N3O6hc7cZZuBcV+8SZi0z+uZzKp60TCz
g7U6psbz7Fcq+JC1ZeNFQAz84LR3vdtVj2FiO4SlYwaR40OOSwZu+Xt8luI3XgqOYClPgjFr+lSH
ZrEfAyaiRDaYy7RJXvF/9c8CxFZ7PogBGJZPQL4tHi8RqT0XYeqTjRIqBo3GE5IWp6+02FjpzrwV
obrBTQKnKl1F1Rj9LCrgNVLSsTPHpGQ+sw35HQFAv7XyMm9wN+FFmAev2CvspyV9a1FrHdEbRrb1
m/An7EN3FbXjDUHgu67sn5kYx/scqdRaBpU45TR2ryPJoiRjZVzj4Nyf9x1uW2HKOrc95nlm5aYP
nlHNpwgUNzkdJ4KOEQucfEhb5qNxEiMdynip2RVJuc3IUiKf1L+0qGtJp2DVp5LEwZ7M5YXVggTM
DbtbPnT91lBHf2Xzvc08OcDu9C49MPsD+L93bfUk0JbhgJmzHVj7UappLBvqk1QplDrx66sendLa
aRmsLCCc+5ddIYeXVmsyxMMte05kp961IZoa24Ds4ICqvNmwLAV5h9eQw6EvNQ0EBVcBWVB5EVCV
aYP5umQneyv2pN/UW+yo5CqZEjYxE5hdMEsBXCmbXdx63RJ12/ASOcUJQvxiEfqtzhtMvlcTZ5dW
1ZWbaLA8HkJeXba1Ku3x+zhlmM7LhPGvjGEf2csUeieaMB/PKIHP9duuSzbbI4IbAxksu1Wv3hEH
Y5OLFIkSmbZjuOmniIzsgWIGU7HOuUhCZ9Ni4Y09UWMuHWtmR+zKcdnDjbkjRcu/nN2gWI06jggc
uMNS8oQTDIkJpQ05DW77KgxwQCuKfTDL/LqV7D1ayO4x+Cz6tM+5534p4XKi/Q2LHqgxMPVn35Dd
KU7XlMSlvPRStHut0PttQtzoNvdD7Zz279JiIP9dS5L2ckLXdR4k80OsW8ODl5K+5k2EB9tKsTLj
WYWbf51fVqiCrrL00a2bfAXM+1qiolzaXXzHer5vej3coZzS1lGY10vimqtLGz4ERktTqOwtnjWn
lAs45vYehQtu5nGU3dcFOy/yS1Jsc4+cLpjr5XLmkVbvmyzweLWZeQYb2r8B2uVI5JRn4/U0ZaNk
fuXYzRbWw8LECX9YwGNPAHiAp8pFQp9Z84okPr5YoZ6eFEOt+wuPDDlCmxvl3dXXc7NAHBPn5H/U
nY43yVDniyo379rczPcD4/09vl+g7aVHSo+VtXIliYc3M1zIx9IVp9OA4nvm8Mka9r/cHYJvNWEC
xPSmDHu3dtzn0X5AxNKPC4YDvQejTpaQMYVES7ykHWikWMx+4762E3YzCw/SxM/KIV/KiEP3ZPTc
ioy9yW8gxdZQrOsWiRf3wE0n4pybrrsqhEu0bGJLXxIkESbrDtWmjQuvZHTM3tM+IVpJCdIas5sh
sUZi9AyBzzf1PRk/sPV7ZGtJuoor/dn25K5KEnJzJlikgMsRiiHWFxtHf+0wCD1HUKMpmkc+clab
05Z1akIdTAhJkZnX7cxadkQSBIc0clKoImaKlwZhHqVbG99zcMYLyRmNZ0jY6KuCwGkI5Zk1X7Bc
w5cwcw1E8UarAciPPtWthlZpxLF144Y5+5st2L5hv8glDZsNPGT7mbOq+MK7lEAKojImp//CP9X6
oxhVBTFAtIMqTQe6OCpGqxHZjWdLCNF5bu9l3+avpVVzBwci6/V8EdqUVhlWeEg9EqO7IMOb7gmB
/2VlUFbFTX7g4Cr2nokv8mTS6rRxhTlSNknnFE82EstBrbDPx/avQyIJ9xJP510YsAatkU5pbbt5
cGPZun1gYEQ2kM//bT3NcK9RBrDdBshN7/U4Tp7e9sCi0H0PDmYKgPx5v/Nm7/yhrYIXABSjM2UG
7jTso4YHyVxoA89lO0zS2XvNoT/vQgnw6jXUTB1l9sVkaQylzJkaK/UbZdhkOqedlRNQZfhfKfU/
EjfemhXMhqGJ4LmgsIfjvjlkruRxnOwYwt1LHTv7lPMFJ5pDkclvwcSR//kd+KNR52XAOJkrYWgL
7HTUHWEp5+TojzPM+ChIi0AGHNaUJkUREVZufznXPxKyv7djRGwoC13AZet4jFs0FHu2SDM21xqz
Q3bMEgCv6KtVwovVaaW/TlveNWx4B9wrOYKHcjbENjIHY0Pkn7YM0sw5IJKDyd1S43x+P/7os30L
DgeUODWq4b4c3Y9uEgO0LWI9fPrtraOFKKbs4as1+AdiwVUAKuCnwL1y/zAShsDYI18t452wqVxF
yK5RVAKPI+zIw4VAGYQTIJU76R/998+/oPlxtKgegDJyUfgPrCc8E46W/2Skdt9kQ7Sz2yEMiC8h
l0sL1HxQUpfCX3WmS18juruwp/vUn+pXrXKGdTf1TrhEQxLFarNjbltDGyezHa3JxrbTZkfxSxAO
Rt4/avQ93YkWtHSNb5/+P3j1F3i14TtsTZ/4AjUp2tVD+ztS/f5n/jZI9/8SdMtQ3XwbtucHg3T7
L8aAvhAm1FacXhSG/QuotoTCsJVxt6/Mf/BP/R+g2rL+0g2Dnybhy2U1s1KOgOlPgWpPAT6/7cQQ
8PgfRB/XwFeVT3q08yF0NO3KlPaJk3neEs8Y9IgFVfwcROM+C2tKN42An2U5DNMPp2zdMye1a0S4
FMjfylLqjFkq7YB/nH6e4rSAsiawbkWSEJUlKlGswtZ2L6Ksb79NSR/fIvDKtimyn5McDuJTWQUe
PkBuwrEmeNnb+hlKZ7LD9gc3SChzI0E5RLi86BVNZUzICQDDmJo3sFLTvU9xfhq4VraVVrtA0VCc
l46JxDsL8pWWUDPR/A4nRUwkICYTwqLzDt19XsuKiPhsvCwrL9tWmeefTeTCUXaL0bxG8uNf0G0T
CjjF+jkDe7xXe87qDZPDbIsSK/xu+LF/YRASaoxCnuO4fDvrFDiGQD1Z1LavLXQ4Wq+Mt7Gmyyex
9Ax8P5bUi92Vj2ByYSSutYYKMZLinMVy62R69WMYuIjVWFgVxE22ZY9O74j2FfVizOyEeNwx2flt
160Ge8hJHJ0M2EumfCgJA7zsZDRcdzT3LyjApu9FI61rQhGnnTUlzYWwkvEa8454CXUv3tQBZnb6
KOrn3JIjPVfobqo+67eukfI1QqzK7LTgeCoGk1BLW/7QfGsRNw7uAX51ahbhia0UXDJG4ZoSkrhq
neAcn2fiTT3tJEvddBXW5fzApldv67p3XkM/Kck07OLTTtjDVuh+cIK3ZX4Fk302sY5L0j3U50Bb
WxCf2P6n5D6cYp9OQRD9EYtqT3c73FT9UN/6FJ3nM4Soc2onFOKysWLgIbsl0E3PbuzSrrY5bAR/
MaA93Tlj5mKWlFnW9Uws3nkY2pgjum6WLbTKg3GDTS/ktY7KKm6t/kwgVLmi13b38F9EsExmO3uR
40gmsRDZbhqldSqgiG/zSsSP0nPj73UVGQjgKuc6R5G8G6NpvECbZJ2ag1PuGlmGl51dtrfJbPnL
MSccKNck7WVA3KlfON6FWVfmYwFV/ByULz2JISLukiSzc6xXW1APO3Ius2o4NaPB5nUEjtb0bs28
vztA0sdKbgL/WJP74x5qa/jp1GN+EuI6uciRdZ+USO7pfoh8I3XMvLfs9GUarCpcaqFtPrpecVuS
p3vftoT4zXqhXxMoQJ7UGAXaHvBWJ+mIouIi6qlxl4Mm6kMbNAmxLGmNCtmy/Jc48KJt0fOHwjnO
7rxYV9l0GGLo9CKnpNLhCErO0AkQmFih3s1vXKvtnpnK9Q0eucYth9xJaA5iXw71FtEL0jnhYncY
01Zcw6DOvjlBthPT0O1FMBcndkrn2lbgdZLN8rEr/fjEdfJgM+EByDyio90vxuRb1WJ9NhN7s7To
ppZzNGG0Wjnpd1TQ450LL+q6wvZ0yQOFstBEqbli2F1dac24GTJRn9YN8qWl72+cLsm3QTvo50D2
2bbOrvsAoE1TvO1UWMZ1oofWrsArAkvVgelzoffNi9VNfBJcGAZ9dLelMYzrPjMkLa5red87F0+C
RUUgV0zBOZEXOU/h5Uz04VYjlzheTJPjLpt+FKQyw6JdhMG0lpjdtvS2EiDW9/s7zAVJAM9SuGJZ
E9Zsc/CVFn7V6KdhVWOGWwT62jC074mZwjQOw5m0x8x3gUsxevBpnZeZFj+k3qCfZBDB1xi51Asz
ScvnjEHZaVBG/rWTe+KkbR3y0WbkYddxpxH8TWYLErn2IBJ33CZYuF3prcix1cot/aLH13LpBSp6
zvQysUaI6N+DNegXwJvRQ+PZ8RnZaOCandhxIs7LKWn7CzBRPB5hmJy1iSiW3aT5Z5RJzVWXBPU5
eXT1vRbE2cVbchgWoeGGkWG4mk1y7BAKWQ8QO82dwDJ03QQeYM2YmD9nN5TnA3S6g23V6nCRs/0d
skp8h4idSFpB/DQYiB9uJf4dSOXDYUmieXRlGOBgg2+roKl6vNHpPBcFQWaraeoILhtN79SzfSeB
m0fYPA5jAy8ahsS+hqaEJwtOPRFJvS3isVMWDtVdJoNtbBDOidp+vkp7y14zn9OJziJlMEGjWdgk
Qo4bQVTThdGH5t6Hhvk0kOO+GvBfwvSC4zZmiZ+2EBl2roEwDXu+xicNUMSrvBj071nQBDt2Jiy5
OpOGUThXjLO0lwprr33VedoGm5P2Eme77MQBLN0IO2yviQ/17pAUBRtDr/WbqI+JROzdQFtOkyY2
FsLVi2aqn4t2nl70WbL9QyacMQgZbQAaazCADOglzVY7dYg0hBRXNKBUC7Sz2AgowyEddAyc+xoB
mvIATJLwVjoUIotE1hluw5bfXddhne1KkCaqXrBKCBttA+nGDbz61WcMfdJnkbmwx0E7i02M4r2C
EMS+YNrkyEeHYO4Fey2ZR54c5HPaiUcseQ56IF/xG3j0yvFbYcz5kjwyWLlWTZpk4U5rbB9uzTqs
9lXkusBmqXmfQvV5oXUZH9B2Pnp9ITRe9RhjrXRfIYvU5b6q27rvtpkYyRU/p9QqQqAYE6uAdYx3
jb1WBP2z0XTclRxG6V3VXT1hBiWCVxlPlrfLehDuR23ChWCj9QTGEXG6lRNVzzZnbnIeYytUPlZs
oNReyuxlDEhww9gl33uasrTHZmlFkZeeGuFU7GUTu4/O5NRPkO3C5CqAU3pKdrHR3MpojoJtNqfZ
XCyZeczYD4Sdk/zworHV7hw03c7aiPqATHQtTktErrG1KjR92qLPLTa9aB9aNxzQz4bZSp94koTN
PYyaOexEXAGq5R0G36RkbvzMpZzMon3c2Gc4lnshJiKls0ixK7/X3F7bUYvcFXOUrSMYWXtOEO0G
X+zwbIQAsMT+a7roo7AmZL1x9nMHKkdu7MGmM9o3vtBQG2tyaxTjtEBLSrmFC7okuNVqTuP4BAYP
al3w6TLoMErBdg3vShT+wtFxErKv8xk376TWyDK3McSQQRDsm9yM950engkjA4p2jeosCkS3mkK3
fpIW1ACsJaZtXPcMH4AI14QrBgoQLtdkXVew2iK8czr8ApbYfXk7qVcYuWcmNvt6oL/aEvObJQSK
GNdbH6nZD2zWhffQEjHqti/SdkkHuQtqWzFuETLFefbeY/+nifuiicNm5tMmbvUzOwyH5ufvTdz7
n/nVxLnOXzrxJehhbTAD983E9W+2kfMX2jlAkXfSkEmj9ncP5/8FaYBVjUEiCTeWwsB+kY0sD09Y
+i01GWfmb+rWv9LDIZv92MPRJBJVhMJJN7C7pMX8/+yd2XbbSLZtf+X8ADwQ6PGKhp0oUqQaS3rB
sCUbfRPoga+/k87MOj55mrr1Xi9ZNUamZJkiAzv2Wmuuv5kU8mxkYbi6crdYS/LaZ33VBCTgkcTm
lblmtluo941cHooal5BfJKOvqrYLjknFBDqmVQZtbRWvUTqURA1QpmhHVKcfc28pAZU5GY9w7iRF
zJaY2DHKWfFuKAg8OvUWG/q5O0Ixaoxa5lqLx4tI52tpmo9ZP1VHGtLXU5GZfIKdQaXDFoCacQvb
tQdL0KQ41BE7YLsAdZGwc+Osbe9mEDDwcHSm89nMthM/nIaV2Wr29ppGe8Bi/bVi+3/gFvie2VJ5
TYtSeYplZXmGnKstB04c0lKte43TNecV6Sko5+4yOvGnqdBRUEHxAc+uXVg+5xvXzROKG3TFy+Kq
38Jc+dlwoaAKwUWirojxhGZDxbUmEdDY9vfXZNQuFhw1L7X7e+DzQJ807ZIK5ykah3sB6cYDS/84
yVUcZ2LbzGYVJRvOdPsHsMilPBpO80qIGKCR6OcDx/k7CPj97ZHv3e4p+YIQad7upHX9CCVvfUPy
V4OGyElAFGfYsKYcfaLwPm/Bp1mPwsjOLC+PrNuPAHXP5Fu7cta3kE/Us54ryqYf8/ox7tzipV4G
40XMerXVcYP4Mo70DZHBmTsQaZpELX92a/OgsiaGt6ccevLt32oAZk8o7bRsphEkf7rGw8nRmgc0
1l3krKgOZi/PCxCGVzS6J6tL6209U1UjuoVjNcrtcMXEiV/IcsK2cJ6LtVGQ8fTpmeV3jDWA/QIY
bBR7zY2GD0XF6+rbUtUvvVbopzKVdB1MAAgdDlu5hpiAHnVFzCFxtzYJtFq/dkXvbjoHQYxwDpwJ
PjledqveTkh++kC3pLvFMMQEETdCEKRY0HiESd+yM1r1SRPzcEdkrgfO1CrmM+pAemeUlvpu8BcP
uqVP/TKl3ilAC6/rjXDaqGXzsKh3sMXMfl8zAntIHFQxI7GvypZOojr6ubj2dF9olDWgsBk5FQAp
JmmBAbopM/GHnejfB/0/Oeixj3D0/e/bur8cqf9R//wPuqaH8nv67fdD/4+v/+vQt75AhsaXTOJe
J6d9O9r/OvTtLzhP0QvIeP5pFv3Hqe98YdPn3rZz1H+x5WXN+5+n/m33DhzauXm9NP7Vv7C5+28S
CgoKJlYgjhqSBTnIvx36i6hyUgKzuoN96Jfxz4LkCU20+8z51ZW5K1P1QNEMLqfhVeScbHoX/Pbi
/Q8OSvfv6/Tbj4D/TzCbYa9yf/VV/WZbqzFINY5D+3zdLuopMl4Xtzl2Y07fNX3KGumlXg6B28QV
qeLovmnibIvfE2lBezNGDr4k4PId3+MPQUB3Nr0LBM8WJ5lY5JDN0eOKFCgjZRhq83Gr5YYc5w0V
UaX8PaOw+/Z/F4P6AKrJuxV+TEmbiBIuprsz6p7pP86to1Tp4qKapEc2VtpO19FUB3/RqxfaeL2W
98Ru5kZVUh1gaPodvjWbveN6MXqSiU5BHbBDtYCZQTvr9Y6y6iOD54WTZwjniq4ShduK5b4JXQm7
2P7GvVwJ+Uh7rqX7hmVj4XGh/ifU5BTBOJc+LpDrrERPmZxaJJcyxHyF+0FTt2kxPMSdfZeJ6vuK
O6nPcl9aU7EFZOOgEtJ3pFfVRzkb6jYHVust6vRRGXEQ011wrLrJRPRv/Mbq+MPoac/1c1ziuPu3
FFD1ab/8k8MFxscN0fC/ny7bH3Ub/9cD5c+v+UsLUL/cZjRy0eRr8ebe4sx/niiO+YV9J6hI0gw4
TX81B/41R/62+1epBcDxihsRNito8X/lAOHs+fvYeJtk+WaI0ZTYmRZ/0O+uU1erKyeqnWIH7ONt
ypMZ40NehxhhX8GNPLbc0Sp1kK9OKV6XCRlwoGAa38ChX2wnXBWp7XV22/uucNcbB9/cu9gSt5wF
TWArkr3N6LY/l2i0ghoHYgACQj0qcdG8M8+qV4Uo4pbw7hDocAj9xknTDUCzm4/KvjKVOg/TmjLq
9CX9zunEd4ObpkOdCjtFY6ExGe1B7dsbgemMQ4RQcG/0XlbM+7az14tJrRB2gcn2xTINT+jjuR8v
c7RPwAF4hiIu06qbW/rXvlpGmXraxCfNLovkvldTcZfp/EyqWqUPwura0GTj+UDEjIRt8ULjN+6u
mdowSUSrtMdv9UAoc9THKWi5CX5PGU7v8slYGWdX4IuFhHvM2jCE0mVvJ7oB/ckoUPt1/RM0ob4x
Bi0K0twyPNyT37RxYfXUj4fMzSmVSnGZZSuV72sPVRc5GZalXV1L2W36Xwkl5RzRlBcOipx3je5O
3mzX4uo2WvHaj2bzlSlyU7rThUGzvOZYdUkTOe3gZdg/cqz8xX3b6PEUas6o+pJ69NdhrdNLrifG
Xu9gDeg6jCavicf2UepK9EhxEJaDnL41TynNXzYjeQRTnZ7aupheCfp1n/jF3Ze5pH2SfpRhCqza
xuM4uiWZ9tzYS2weF/vmUq8KHfG10EZz1+vU2dtpBt4ss8fipcor886kpmdLko8+uIrsjgdaE19m
rDbt0Za07BIiFLx4rkaz0C/XW6c1uIG6m311rdXqIJWVeVhCjZHsknPUb1GX6YknAiZP7o4bbbKz
d1sbqYf75fpDQopeMq2oH+nYgkxV4jJHFqEdyprpxMOHc0Qgyd4buEjc5QUNepy2eARK3H8hnqX5
Af9Iehr6nEffQFw+7FIoKuuERV6n3BxyJRzdoJUOVYWqXrws6aJ+bwdb3yu6PmR+TLRmF7eACOgW
m+FGolSP84KFk2eyeBprE4Niz7e0NRZFAdi55UGju/DFHKIl35n4JjNKjeLlii7Hz1iC0bxCm6Nv
kKd27usLvwe0L74hl49EhtQZVuEyYouZ+7J5S/j8bVPoDmyI2WUEEQAgy7OTvnjBjII5QxrdZyqx
j4hBb34AI54fooFU6q+fLItoPN+MAMjBm2HLvsRUKdId12Ir1qPEuRi/agWVvqSLJDEOlVkNTx19
WH5tLZiu09tfHKsH6YXB7J/tueQ/LKJM25tU9N04MvUSqm6HF20ysvdf7zQumPxpa+ziLRULVpGU
nH3IXrY+ky7ESZLE2eCbqyxeDKymX6dKwRHTl4Z9YVto7OucdlIxs8hHYydBHQ8goBvavzb0ylcH
hc4UdtjRBDxiooPyl0WlUmvrTHPxcofyrl0jNXOuk4RalfCOZGXpmtG7q92MJGaJfF9FM99oxJzZ
2guMgiJOlMdfhorVyupHVp7utub6Ev76bZVTWT9C/8G82+VRBYG6Hx0qMvn0LrhYjkJ2RuRZDrf5
wIr59sONumZT8eGtK/9IHefNaY3F12Sd+l22nroqOY1sAQale8JJXnujWb9XKXIAYUPfde61fjir
U/yQAM0Gp5rsoIH+NCf3DpYPFl+FjYFmX+dO3+hjssUu/RK3HZWK6uwcLYtv2EQmI42CvXQhaKpV
9bXnOYZdT6/Z1aXCuhpN9txBWTpZI2d4jlc0sOxG94VdGX5aLiey1ME0g+iNqOer7OhB9Mp8FrOW
bZw6XnBLOVayteo88xCOjHBp8hKMJmrYOHKR7bEDJ3jTxWcVY5GU2g9ZQTCT1MjfZesNfKiVpEs1
86MV/a5yzAs8DByO46CfWf1Gb0qsvWJZ/YBKhMxRdeWGqG2PhlaNoVLqxHI7kuFYTLWRScsifqIb
Bhi4bP0sR9PX1oTYN9vFDTGDxyobmoNr51sdujzM0pVfcGqJzSzx+2TTkuPWEs/WolIz7cp9Pi/l
XoXCtKPrPg9UZ2iYMXNM2S5r5nhlPVzXb1IdDG8G3XJcctU+tLzxt9liqdxIozdV4Jok3OsNYkF9
bq5N6tg/Uo2VjIFx8d22FOTdPH/qRZd9Y6UPJTYbu1trluOziaRttXP7g4G+CjdzXTkP9LHYxaiW
Aka9avgEBLicP8qy+0wWyuxUOPynOWmnJtTjMe2hXGiIkQAmh3AdNYobhXUqOPMvvK0QA61IPBCO
N7gEQNryS9pCdnmVN4HRIbN3Qmt+dETZSRVo+6Wkbkhvmm8Dm6tAOvCFMzG+qmAWfbXmae9q0twq
1vBB79GbTPStusjomXzA4tHeQyUsRmxYVKZy3xosV5cKqjkfQzYCVfwKn7Pzq04PelKlx8kZ4pAh
wfnErjFebTMVzzlXemYIVnx+Z1jLYYLQhAqkRQ4c5jF7zm5RB6Mzyh8dy5cffdsWB7elbK+Kuyio
R2Xc8EyfNnnH18alHi5rr57sKKsvuD7mIE4kk9WtspIqCufUjM30XkEHfp+I+p0s9GLfZMKi0DFd
g4JPESd5nw62n1SmxJBVOu4tYh0fxxkB9dBpkZgJL6zWSXPlsHFiWap8JOKX3pqVswXz0s91bZb8
EtHlojZWwhHCzdE2W4N3TBXFXi1N1tbGOuHBnunWrIk6Hqg+Yb0kzTKMOhm9uDLtrxO49SxcoYVB
s3cr5dTHjrlnUsi3Qq1lmM4FhXFo30aYtPPPqtS0s4BB9Dy16bRDYZFfLXzMODTBz8erm/iTPXWQ
FCl6Uu0VtC9TWDmOykGtOcAaocldHZHtbdo+8zNKECkSpoIukpTbEW35bnfckro2ms65paj3bVS1
G1ox263UWHgOUx75zAz3cw0tVVG2WP4QPZ31LWvbGhccOE7QLLJlHZcLLwUWsykNFb9rmxtb4PD3
M3yEbUtaytMGtmVm0Y0Pa86Ml9MAyZNrdM7LJItHmXXTjhIC5U3v8Yigjf7ASMgAYi39xgWGuxmK
qCFLj4umbdM0GFoKQ1k1aB7knStP0PpMaGbwGrxwXqdO5ovezNt5muOg09fHBXfbaU41wcrKybZL
JbbYFRCcRRtCUot/wJLY6j2PvBGmaDhSvxXOULQP6Sg6Ii9dtJ9kdExjeTUi0wzQ1LI9rOr5LspI
OfRBBjRYQK5er27O6Sru7IHOqTGk9R6H+zYvwYtegINJVnEDZjaPv7ABF8BVFKp/41jSfkwzLCR6
36ZcYN7PzL/r0WRUyf0sLnMzXLqM0kSn0TK68PI5Q6seBxyJJSIstbSUaMK5Qo0eDc+i5lQjWVB+
nUvjoqjuuCkrPMoYSKdHAlNrKJa1O8WZWbPLNo373lxf5aqn4dpY19QF25utPRtbt9KCApn2DLnV
/E4rLuUlWrV+F53o76fSVjapGH+08aKFk6mN9844grt2bOOAzDhx+iXdgzsV2nECKHmNGVVC+D56
sCj2O1yBG1l4yL7RNLn4qdIadCUgKpUKLZVxBqE2lx1+8zGd/ahx6PGIcI/MPTo3xtQnWK6zh7Hq
btUZtPEAf9p4Ytlllzh3BCCS2vhIqM8JSAm4hyVerSrMxG3oj5e2/64aU/8JIzA7TlPVMcd3AEis
1Ny3mfuojoOretQ4UiZL0ivfr2sEmWldjeVopC3mBwrhvhatWtx3SfnBBRQaa40Bu2HnsJp3eAew
ilbJhyxLnvqKLD/t0bqdWcSxNuBaxk0LOfmN8cUKwbvM1z5CyGcGuuq0uJ31jA4LT7DAPaCyYMxY
Vj5pAB1eLMTZO2xS1XEtRoct9NIX57yStumT/ki+V7JTYy/KUiIqIuFRoGJwhzyROjVzQOE6nyyf
ODjG2BTXdIgdWBE2Bex6yQIlqdHTx0g3FI58Omj9QZ2qp4qhPzTF6mBpIMXRcTCGjlj36YLm2cAg
4QG95qeUNdCbgHIYWNJG+jCxX/ptlmG/IJzAWyhmKMlqB0JVlbr9ExpPG0chQkC16iyUeQ6uiw8V
eYVehcsF9obsxp/kRcqdrffprpWEdGel+pHPWDy6JbK5PnbHvB0IDsStc6UNYHyIk765YklYgxwl
wVsJVOILqFme01oRZK4THfjBnrn4RYHtJvUGz5uzLywlbv+tHf7R5fjPtj7ERxHu/vetz776xAT+
X9bI7HZuX/PX1sf4Quz7Rp/5h5Xzr6WP84XPtssiUGeZjBv8P8VDQ3zBq40//obfMv4Icv+1Rra/
kB9Qb1/Glhl98V8ygBrGf7O+CzbVfLebEx8H9t+d14PWJemazMo+0tc50GVBpiqLmAQGooiQmJjh
yKl1C8XYsMMnP481cbTA896vVkQfhWARHUZqOn7aZFrOK5ecd1fNkFViTNW8t0mvBjM6PMf2Wr2X
JuFZNlLamTHAYl8ztvo9V3pn9fOs5ORBnbK4ejqPdpsX15aE2Fkdv5V1Sy9Nl+QvPVPkG2lGaibX
sahWkEjN/A3ZhygJYbNl5ckKIT6Y3UqnfomStjxsLJl/T5ScHa/elkQuFq2lDANcNDO3xIIZAb28
v22HdGQ1KGSB2WqOERa1Q7qm1V32uZmT6VtJuXdyM8UlR50NhRPSJZSyBKkKtr25ktcfTdc0bzU2
HgIqi+oPhH3uEEinD6ccqzdiTuSpUCGXO9jU8rI0WfxNSzRatTOtJtk5cG0uG98aNJXjw5loopnr
B5PyF7Y+DrqoR9OMvS3mND85OhUyBqmXTbNgU+jqvW1PQ4xdc6C7e2g9y6AhS0vtB+6KdMZnevkx
U3GLXFU6D9QnNjiDsv5RX5i70q6DQD8t+g6KtygAzuXVwewplc+WdbhzALFG+7UT8jBSJcRRHJsu
IU1T2kdHLbXKp4GkeKHCYngccKXj5RH0RA90A7+mdh699koz75vJlGFVucpxWnn0g4+1wIUvhj/N
0XpcYzF8pZ+qkb7pAkqYYODeJY4z4vhxKUCJIWbmwJCM5DwaVRE20qXLpZpcSReCsMf7Qpnb2+J9
yL/JX8/GbuZ6EFOMUOJlm7p37JRYO6aIzAVuKT1GziZxusMvnV6TJte/anGZXtzV5E8DTdE+CiaU
zSAT405oNDywX6oTgus9D7SFoVHrR7mbFgEVGSOZb5XZ/KZUcXvQ1dL9MbWT3W4stQTGJPTJSUOW
l+7VzSxEePaONXa8WLceEoNiNmY/lp+eS6fPhwGP3vWGhFtQrK5l4Jo9ZTClqJ74PeZcb7rkwZ6z
7r4TS3KwuYq6ocA0iV+lMgLFwhkU8HatnxxdqmeC9TVzteTfizo27uVoDDWdU2Vzyiq7TmkgKfmU
v8407t1MhJTUGbw82NpULq/4v/ifuhJx33uzOy6Zde3obVKLI2UuMxUuOL36lQGN2vNoJMl8pXVb
Xw4JAeWdnKwH4ZAKw3S2skbEFL5QVPA4Y/kesc4NxRsRiAUhlGKNwB4Mt/PzRqv9Cp/44wDcEE9c
Knr/JkBz60nVk4EL+tibLAEMCQmyqzuu76jnCF0oTwCyeSvyeblGHYlIL2Ur8DxHk14eraFXMaxC
si7cwGjWQX001o6VHCQ02uqQfqWym4b2xYAoflFyx82DudWnvd6OBxpmrPu6adpt2eMPLejF21LY
tlxk7Wj0HRXSqx0z3jtLV1xIdrZX6p9n38gzltq6W4R2wy8SNdErI1B9QianMuPzUfaIW316HLND
AxN3P+iK3A52RPNNqr1ZUYKYnCmHLNO8ASOzR41Ax7dRJn9m//OSGLqxj7q29gUvy4bAQHdOVePN
HZo4YL/thnDRlftsFRFBME7rZVC/VqJvvCjmDpIvn21Ho/rKaxj16h2g8X7xgWWqG7VLnmedZUaR
1S+Ovdj70mk+uBIWIXePqwrDgGG0eIn19mxNWfbQy+qV+wT5xOXOZp25KdX6cby1SJQzYflJXUpP
nfIx0CpKRrxhbpydnTDbLlZF88jYSVa7iXUvU9EdWr27w+tJk6DrjFs4eEYgqE/BKwBpnFEnTw6Y
s42Uv16zvmFe6+7deTI2FnO6xtvozuK3fVTjVsN1NlRXFffv9lamvjW4gmMordcT1UpZxPsH4ze9
gs1FLot71dcWKwh4xeKSk+Q+W277adeJesjTWNytkKZCIrYOAWdzFrdjlnUfhWRL/AQBPQ5MmCiB
nE0tpB68RJiLl1NBY6O3jIKiohxVTzGNjut5ejFbRfKRyBO/pfThVLY54mCJLXosouhiahHC5oAP
xqzVhRlyvINXMQW5Bpa9mKNvSafKi9bY04M2u/NdirR5tVK3eqQ5pPR73Tp0mKcZtHnrZIr6leI5
CYaDfyTZHPnU57LIye2PaSaa4Siu7a/oGht9Wd0NGmjx0+qi6rROYTesw3HqDdw47dAZJ84YOun7
1CYYkJTyyn6+CCSNJ3fgtHTfxJC6pYIh+TCKgs+WW3dUgObDlTdhgTdQLR4yMzI9i8BpmFprFxBQ
ebDZogS9lrX7ctX1h4LC2UAZluZsTuLdHFsrlKQtHkuX66HZ29rXvjbkBoxFLnhnJDnryVG1fEEN
HvZvrWVO1q2taNr0Thkt92B208K6L533Vs8jkq44a68UcPr+0MT/bb34p3MySMf/c06up78Nyb++
4M8h2VW/CNOGu4cqegs7/TkhuxbpKY2UFMEa18ahjJviT1nU+IX5AmKOjOreBmS02T8nZAOZFJce
20iKM7Bg8FX/gtHC0P+mk97yklDLLIJYrgq1Vb/Z736zOeBp7cfKTp2DSj3mnUIVeTDlGio++OHP
shrJbZM8wbhU3NoJsXTnJx2g+xuFv1gIIrtTHqiY5iabNMv4YOh99JKvfLzvZDrPH0mfZjHxDF1G
flRx/vtUvLIjwkMWRsRWXhasc5cBhY6k0EJh9iHJnOJzHBfzOAJieUnYaFHUV7ROyUZIaJAaanwG
PU+uxDXS/WiORZgluoSQQfkcOkSpW5/IFsWPSrX3cVGsp8ydx699Ko1rHinDGgxwHX72+lqegXff
58XAg2Cp0uyN5nj5Da/W+HWOZelrVLL/RLKiPNCNTYgT7WxTQIvKF8yL3vFJj+f71W7F5LloET/t
UlEudZWx24BVFZ9GRcPyZjQ2SxLKikhA1Lpx1JIsp0OOA8P1KOZMvq1YSHaFFXUhO+7kTSw6y33d
KZ1tZ5s6uMbSKh4XkSRnJoY9gIA63qVTEW/ZKzoHHDTjVq2BlQRrWVqPZUJAZbtSlmkTrkg0nLuE
qOi3zZlyCJPX7uciaDImHt/aqk92bbjjOQAUIsrlYYjyLMw6Ya2eVtesECUw7JZ7Pg9qHmXsKBrn
RIDX5cE/2sN1tEu5o8Sh3uWK2nELodvPd3H31r6xWs2jLMiz4DZS/FqbeXHcArlBIcd+FjZlVp4T
r9k5JT3PyouypdcC359nDUbv3LETsRG21mUmX0JxE2OnFdH7xIIuLLqqPVd0jfr4jSXrcKuR9O/M
SU0vZdcfSLLcSLHJHD84ffOz47sMO7VfZRoo6Gs/pzgvDOR2OgK91Fj7j6pl7NhFkVO8RMOc7Ue9
kuHqLplOiMkavzUQdR+sCeJ23VQmcS69BQCpS30japeL15wKGhH7Ls5epIrYNl5WhW5QYMN4APqt
Lcb0Oi128lBqBOSKT3672kRddtlSj+fNRpUo3VFdaX1DuiUXFJ3iTrpBKWrNE0Y/vk3mZDF/Ce05
dvgz2FRDc1ofjW6Ow4l6ZQq7BSG8XVSJm5ASlV7FJ9QfiWEelt7IN11JTknJ9NZf6pZatRwYeyVa
D2twHXZqU/qyvxXoJfmCYbXXWHG7LHZiHQ5PLu402v/ua1UgmdbGlVXXjgiQeVxBpPuL2qosYatl
R0qA1/0WJSu90ViioHJa3oFGJdUTaIvFCrpuwFsJOXiDDak/aGVL23DGAKbP7nQc4H+AGCnzrTSH
AWx0uco7q5PDQcuG8ootzCAxVVvm1sqq/qq43WVN+GDmlHaxVHsWCsdA4eSf+BKNIAPRBHc1654U
kGqnYgKM0VU4p6AliMfWyDm1nJL5zKXcy6MJl+3lDQeQTbHjjxoKzDjkD7pRvbgQl2DI8MFWap3u
3PhKfCxByhSZH6ER+Bl4eAhBLOl37WqV9DgBLVeyenpi9Z0E6ri4e7s21lArLKgEWqZdrWboAo6n
HHRVa5LtMsrwxhqbYSV0w73JnBpSID0fCbitX3Wo/q92SQ4HH35BbCThbjT09hM7FuKEk1XMHFId
ZwpjCmdlakYKCZa5ZsmRx+tZzfn0ogtlDyvohR95zIBa076wGxSXxaqAzRbGHakcmjIxZ1XE26aO
bHac5vJUkmjd4rN27vJW+0aSCYdIzGZ0JvsEPUr2YdndVFWdF+UycYEOoxXnrW/FBa+2RrNtS7rL
JUWXLreKW31EMSAvNNONqVTHlOXzGSTY9DmqJqINRd5cRDQ1VJ0GWK9hD5u2c8pXbiPOQ9LHzeLH
/PpfM8fcaOagnMx8rs5iHNLg1o36BEGwgBRi9G82sOpHG8/0RcokDhch1U3RGMP9uPbOPlMNcBkF
m40QO1LBoZukw2Nq6PXBSTr9m97xltZ1OZFvkdU9RKGOraYpzsTEcn/G/senaloeY1HePHaKSE+Y
gpjMuawdO7OIdmpiZj7duHlAPSdHZhGfhdtluxRrxYOSD7aDvuLYWHfokkVGZVUS0WZ8UIsm2ZSs
jE6pVkTPSbVOiUeBZvfO+AcleFXG9KiNebdDFZOsu8X8veyH3F/1Zn3SR13zmyizAbcUaR97uNKf
ZTxpRwIy05Em1Bvn2FIz3m8yuZrWIB61eNTAAWcN1iPJNQk5J/lKuK5DzrRgJHU1SzMOJrnjiT5/
SwhGPuGgsTtvsLAok+3NfVUzVqwtQ38w2/7SD+gg3M910fevqrRuwy0gBJGrrws+qWpXY91Pvxrc
BdD/+9oaeBLlqpOd1xoDulfpQxnSMSKDRcdaGDbqvH46/WiFUb5wDW5TjmCKsrnhtC0x0zhZhu2k
lk/TPMttmk8xXivWOvwqi2CoquKi3zZJZmUfhlhpSEG26b/dg/9/e2RG1P/Tm3zHtxk+8uV3P7L4
44v+WiSLL3i78CG7t5H2Nzuy434xGZ0NHlQuNU7itylZd7+ImzNXVVWMuhoo2n9MyTAG4NwDxGDB
LCzQNP/SlCwYt3/nCBClVhnT4RLoJDSE9gt/8duQjEM5oVcHE/8IgyLhXivsCzWU60anw4vQFNPJ
CH1QmdgCSgPmDuqJi9g59jtQ4eNWl0Ju2YSglP12zfgfXMqm9rf5nR+NvxxwH1UDtQDz/WZj/u1H
mzvCcDk04b2NGa4+uzw2zg40KH4GJTJpmR4w2ghDMcKUtuU+ZvemNCMQaR7v0adTVeLS4caUbdgs
UM2/ElqIT0siJ0p4kk68lUnSWyQZx2bd8OhQnKAwgYSeWWE5nRIYFq1XO+TnNTDUvOqTgG5oupk5
8Oy8fU6WMeaDrlA+BY2okFcn6iCrcW6wOmEJ6x6w6onbsjoL5xb8tzMkWCvcydEfALQMz24NzGBq
ZQnQp9AKFveAsL8T+lbRd+lQYMxom8xPEcQI58D1F5sx0pLi0OPqyTcY0UjBZ9hYLuhtCE3xtAE8
+oITTtm26doeYBSJ7QBh4SNVk/bsluYc0IRJ2rA+NLXVPdkkWx+Ei+xsdzDDoigZD7MyKkFqr2ys
CzaeJ2noy7GKk42SZjlP3EHUV8Vw31Q96zy6HOs6IJaYvGpR1NieOpjTPRAY5bIOoPV8GzBAOKXj
fIzt9VGFtHduFyhr8+pWtkclu4g3lAwb39sOJrHbJJ03g7tY2b+rqXVVnby5knPS/TJyygdzXG0s
AXor8nsewp3+nMUta32hpOd1lSFjmbaRtDw+Law4yfrq1X62GnNbFGW1aew+yX3RWnCyGLjDtbLF
jvxNE9oUfnv6qkpGvQYAIalFX9Bie+FVl3eOlbcbKrjUQyx0l0Sv5RwSoRZxEFVq8drgyHmqbcY0
OQkU0HxQuBx06XrSK20+6iMI+thOrI1B/U+IUpB6LH578E9jG2pp3Vser7uxWeU0kzrOm+Rbztue
dpF29nveaURo4+mq2uN0crkR3ZlTN4SFkbosUklh9spaYYJNdf5CvX5N+rJFC1k1L27ThLc0tpZo
M/FApahCGpQ+8018ZS4UL3LcITTdSXzTYvL1ZbYsP25eqnvKe4zAmed2ZzQG0hGdr9Zbpy1rCyQ0
EXtttLI2qCd9IZXf29WyHWsNXcA2u87xNFna8O5cWXBl0d0lKOIihmEJIeIJbAbLXYNm9T1FzoI+
B7M28UqpxX6015a+GFEkR+z/1R29QLx6pC9X3xhvN7cx2RQYBDO6iiLjowSlYWELndonwsDV0S1c
l5dvlfSioYNtCKxHdBKkt09X4kjDiwsjGrc3OFfB/h9XrV2pqbm189ra53377CbT+t0e1zmMps7Y
02ZXe1zfuBE3QqlPnITTG/YGp/UaB+eXV8ZrJYI8bXPXj6dqWry6a+33KrLdITBli5WvJvw3ntBW
jP0smE28kt0K5LXx/7F3HktyI2vSfZWxf4+xgIoAFrNJLSpLsyg2sCoKaBXQePo5yO471qy+Q1r/
69nQrK3JQgGJBCI+dz/eRvnNBFnOWvlT3x/LUJYuII6MnXnCRu3OZYOq0ctD6w7ZZHiQGgsIrjY8
pWznm+zO4YuBRET7EDvvvjRYRZpVv6lYod9KHgfnPPLhEnRBlr8EbVGjstttuR3xIl2CRVEwsPA0
G7XoDPGiOCga3bKN2cXORiyKhLyKE3rRKfrZ1RfCW9F9bAHbrxY9g8AYWd+pyzd5NbDGvAofbpOm
X5OwRQ6Jr9IIW0l531BYZnzCp4x4Mi46inWVVNRVXgkrLfXOWVQXPdv1acrN4XPoRWhtizqDdbI+
sNDfzIY0wEguKo64CjqkRJxz5GOQVgPuZtcukX7gfEYPBG+sjyWI10c1jbl5aOAs3TuOU+EqmNqU
gnAVNV/KSVDe6+DycTG+48cIFvUpqv0aw4g59pcW3Q8p1Bxcsiq2x6AyZd14B9oBLcvtGw5HrrL/
wfMdaciIhl2tZPMFYiyHCH0BHZRnM63tdnLUqTVu6wENjWfDeEwWXa1fFLY+5abjOc+XPGWiTDCk
XGbqi+vWv4pzkB3VDQ0+SHZqshb5rkHJY2TO6q9nlX5uPSmvH9vB8KJzLmjkwuLOSfam2jaR/JrY
DJ8Hz6FjjkzhC5pMdUwqpe59OzI5av7VQpziRnSJnYxGdQOpgUeOm91AVgvQHUuQyZgbpGvgnTNz
gqWiqLZV5SS3k1uqvVMaFf9gHq27gi+6sxoW+dNdhFDL6qxNHk1oIJo/wOgbX6hqrB80bpOz49ZO
tm6qCHnV9fuv/SK5pgQpNjovx/2yLnnLFmmWu9Qlk3NVbJ2regucObppyp4CFF6n+mx7ixhM8Smq
r0kPh7OlLGZyNohEFMJMGsvwZkQ4epFJ2xbbepGVnavCPF3V5tBZlOfkqkK3V0Xai9QAQQoizL66
atbdIl/Hi5DNoJOPK3o1nKS/M4STPk5CPqWUru+TqxJuExaYMShG9qW5auWMq627IC2QfNqo/DIt
onq7yOvozXxe+I9R3Q0q2b/YLqRNYxHlrUWeZyyE9qMW0d6rG/Om4XHGt2gR9cOrvs+6C60f8CJb
GEUb5Cvj2M+NYWLunYCZrbG8V6cEhVIxEvIMBkNo5RH5/gCfoFHW+eMQifa2TJLpwaHFBIGvF/ZG
UpSHyS2D7As04zH0yVaxKHIvkVtGmAL4ioFvkKa7QTBAJhicmJYZN3dQ8xZfM4l5BIpkrN88HwPT
igJo/4RUMCwLTNfSBK3g1k3m3DorPej56CXAg5EcOnnT5mJ2VvRmddZqNGa8/ypJ+pvapP4Gu6Ud
JmtdONJdszzRH61ETcYDII7c2Xe89B/41lKoILgHiNCVmTz1ieZN4BC4rQ8pMJ1xM9KyEPBqdVh/
lZntPY2j6WzKWhnNymEWePZ0yoM28u1q75UySy4a9MxI7FrlSK/e+KKxaT4iDasvNSa8fSnRaoHv
psZXx4S740G7LPZ1oxnnGmEu7FVkzrwyahV1hN0q896KEZ5PXhX7dxjWqx9+Ac94nYlQHCsvyQTc
5x5Ugt1hDx7Rse32LL3JYmx5XWT/n+zxO9kDcAVywP9uD7opO5Id7w1Cf/yrf+3rvP9k2E4sFCXj
qlbgHfqX/uEAHlD07yj6I64h1P/RPxYOHFVIJFQ91BE6rlBf/tQ/LH6gz3YTxYTqK5ZG5j/RP+x3
OzvT5AuO9oE+w05RMSz/efsUT3rocNrqo8uNS0FmYpiPgvQ1BknS/2VNi+7KhZz01hgqeFaRr/Ft
F8HJ0HFwanj/I4wo86YUsthjl+2Xd0qGaMp6/dmrclYPUeWi5IrWX5tok3dmYXTfE43NaIxC4hqk
7rcVlPY193rAhNWJxg1BhJ78DLNaoLx62Le5MR94DsmnrujG31TIvoN1cgUc4H2Oy2Xgmv6tZjRh
scZGtaqOLDXHe2QIf8+axV9bbbucF7/3X26Rf7dl/XkvfT2ebwuCAyhYCvP5z1fcMlAfaGCrjpDO
IdqH2dsyWIV+xzX49ZHemb+WIylqY4BSsnNfyJs/H2lmMkULisxQsNj7WTy+WUm6hNbtIH7qrczZ
A6MOHn990CVX+BNykIOSqmBewM3kkSH++aCJsHBdsPo8dpLn4cpYRO4G5c3ddKOrp9U/P5rLhMNz
IGRI9bceCt8b4iJPsqMpBje9FDqfd6NEkbqj2uD518cyl9D1u1PzFd9WbGHEOZEzfz61MQ2zKE9F
fKyjMWOKH7GX39Q1nDJPmyhMUzTedWznb4Ym7Q9zpgBIkaxq/vE5U9zqUY4CxYM/37NGM7NRE52P
CSk7Cj82vOgbMkJB8OzLChPJr0/67/eQC0OSV7VHcpAg6bsgumajbLdaJsfKnOeH0tPNpjX4Blc4
qqLj1MRM5FVBsOI3x/37beQKBfeEjbJkJCbePZfSMBniUFbJQuTuWZTzaQ52Nww4crvknx3LIUKG
YLPM0fh4TfGeD+zExkBLHny5mP08Bo+JCrFK6OkcEt/48Ovr+e55ez2Wa2IvpC9IOO57TnSSQ13R
rN2O8zRD0ypZLZyy2O7/tCr8r9U278diyzlhgkA95yHD7Wr9fK92Mmu0LMf4GAgCoqxm2E+snKlg
wN7b7lMUxzmOL8xj8WpmgETSJw+j35RFv7t3lnNFFuRBB1bHkuL9vcPmLI1rAkzHoG9CNsgEtqAH
ggQI7AlmOomSTSPt6TfP8+sl/MvXdDnswlaV0l6apsD6/HzqfShZ3QUqPkaAbT7qROYnaTvTbZUU
0V7bFTEoiMhjsRroBFbrYOim/jjIYvyGal7rrxUC94lQHqYqQYF5EAf8MSfGw6/vhH/3e7p8MEt9
DVCJv4N9XDsYZmUYB2Er+TbBbNFr6qHZZgWZHOQBhjrDMjoMlGIVPqQXQb/rQgkIgmOXls7Zb/3g
iI/UvvUN2aid7KMyIY3tq9+hlf9+13qCqyk8Zq3sFd8ziISPs77JhviY+4KYRxp6Y8repWm3v74m
7771fHSEzPjI2IV4/Pn+3RgbFhcFuuGxhE/9QKsA6dYipb05axz36dfHev84vx6MymOLt+MC3F0m
+H+dHFNg7TbOmPA4JwW0Cb2g36A7dWvciykyIPTMahyms9mN6rORF/DvSrfd/+6XuFbU/3y7ejZ2
0wWWzge9IH9/+jUymnYsvhnBQXWDno4qs3iYtv5oV8cQStyDYUvx5kZBDA6oo0BkqiKwD3G8oB7J
EUCXDvvg5HfddI/6BiatqZOK4HzWUndopfl8yaIGXwks4Mc5s4MfPTa/F2/K5gu2EgIpfq3lIhKm
qNGee+614IGLsGc9kt6RTzKqxKHFmngTAa8mjlzFxrOhhvlhgivUrTIGTne5Fu1rFpBzng2WcY1R
YdX2xyL4kXuGW52KvEYqBUgeHLAZOw2j0qiLVrbSyxqBZmYBWNdyXulSMb8WXW5/GPCdQMalhsdY
N2Pg/Mj61qFro8W3uG1olrrgrs0Jr/FoMXUf05PCw7tsQli0oPgtTKYsGxcKlkctVeyH3U5E0tkP
jmAxRASr+eapztoWSa0+Q00nlYGazf3Gtz9Md2npc3gsocaDZzU8O0XTqc8zHsjNSDXFRS3/tmGj
i7HchfBYx0ODoyDOjGe/tKcL7xmaK+ppuLte3kAO7dYqIvFQ2XWUnkpKWUA3miGdM5bIKXkN/bzb
1nOUMGm+Pq3IeJ5hL/KE8szR+ELHD3ckSW9TrLPMnA/Qubh2k+uRDtNCRM8O3UUfO5I+BgFnUdzb
qaUW+ZifM4BFuMgW2yhGzPhNCx/cYqA1rRv+7GfzCgoNRK/Qtj94RY+v0rC4trltxW9ZmFs7EzvB
K2Mm4nF8aehqCeIcCMPAoGvdpsTDRV+Pd/Hk9NFGOWb8hT5THk14Al/MSTjZ1l7uw3wog5PXYS9Y
T5HXxhu6DVnAmDk8EwJ63Esqb+dLOExZQJNvTF1E2/TzQ+4aCEdzzjqni0DYrhNOgClwMszBuuEG
2+JnrV6jYYHVjB53L2Gr8V4DuS4PXcSOATuk8SyxdizWdme6hEaWnFIv2/ozg7pRO8CijazetQnT
/hBy4haOmbuejFI/hKAJye3q4ox4ssSYs5hOg0ZcaLmYT10t5AHXW/Actmpb0gDxWssivdD9A3wh
cNVdPqs99UwEoMim7kWc2J89DPerysnxLU3YgVJyZsBqZ4aOlrU2JdFGf8Tm6eiCmmquqvXix/1d
HBbTKTH9XRThu8E5VZ7Q61BbDHzU5Pb8VZ1zWlnq6XWUphndJUSTrCVITunXZ43mdMEBf6fHFuhn
T0K1pxaBCYlF3rGOP8gAiO/UVNY5I8YgutRdV20xUNBAzhQAwmJGEhLiD6nI2I8em2h6A0PxWnVG
s02IT28miT3FYuZ0NIT3qV48pgSfqmw9jR5vta6yvuQ2hVi2Z5KzhcQvKUGhuOC574NzWajwU1tZ
8zZypvEUZTkPYGdZI+XWdCtj275gZa4fzDhrTkbvppt5ljfU108exA8aynDPLw+RsPmOBYmCSSq5
wHXTIVavILQmJ7N06BQJYITfdPDQLcY6UAGZ91rzB3d27N04ZEG3bXvLP2Mmqu9YKDnRZpCLcKZE
9kFXU/iBkeXwNJUu64eyqQBfEr2bLqmCRkutr9o5aet9S/JYE4yU45Fhcc5BWUVfdCgePXcYHtUw
TWCwu267vH+wzZRVH63jqs7vm5ahoOKbltFwhSa8stIyWOuJtUjqIValhWzWUqiYR1ExLK0ivBFU
6CsaWdj6dNx/m5xl3s6fBbMuIpbVWsM/vmtE+wIdtd6YCG23Tj3DPA5JwFDTIlMn2aFpYtipmnRX
JKl7L7qx2UnVhR/bJBzONhTxNg6GUzJ0glCAN/hfQI7TiOcWVhOve56Tx8LX0Qm3CDEAi2a6w9zT
qLhKWDuwRcgM4LNabfNJfyow0+9EjqsL+IL3o3VGPFeyMK1nK3fVx3GY/XlPJxlUWpiqtGl2rMeK
sT5U8+zfjkYtH3SGUmWXZbU22lod2EH7B380rXZVmZ3+Xlmet63osD7VrX1RuSMufqCHbO345g1z
5IIlTKGw4mf+QxbUAeNVO7DZ/CeRw5hCm88GKc+12Wb+iQ+VSIOLb5KXMO69wuidr+MsmgdF7OU4
1gXMirK2NpDGEAiSglBDELr7QRnZTmLYAKMXO6TNm/I+bBt6rwIzOQZJbV24gvHGznsoN4G5712X
G9svLhRIk9/OfeseTq57YLpv3/ghqRTqB92nwK3NTe4N5T4TQAOyufFeOzLaax409bpvEPnWXlvC
QE4D19tHkOkJ/AxIQ8TWw5dCjPZtJ7zyTswBy37oD3JVNUYCISQ1SoesEtVsAA3VZ5eo9TOnFp5x
/Xi00gVOdoTWPH1v2Y7f4EHtHlrHgNdnVz6SOno273QAHHqZTLq37NiXQLFSbADM8pSZU8u3q6UR
PMmz+wqG4Z3XjOPBrpvIB0rp0d026+PgUSWO0cA7l/UYXJKu8PZO2OdvS3hUbtPKrz86+FF3Uibp
D9/N42BdKSRZsgDMkpJMv6im+pLzo4H+lsgHvjtbiAiABV4FkgRRFqMxQAQukWXPJAZeE7nf0MLV
nc2AyiRRosa7XbxNc+vrYMDdjrsK5gf+CBgTYThdkO/KN2UW/QkaB2qHzzuQASwsaBfXH8Jbe2+K
vnlLdMoz+w/ea+DrFPpr71xZsC08BsiwOKQ9ZyWcYox+RAYxmDZuoGWGDm0Hgd0aP2oZFZeR2P5t
PLjdByMM+jdHx97nkKKzAp6njyQ3itlj8O3iIFY0sxZ5cTCkM53QW/1wm8v+49TizhJpXmMAhU++
SupFuRxSc80qCsODNalNm9VMNaw6wGRL5Te/VTsenCIRFziJGTbIgXcGUhbR76zrQLnwcIoAsiSQ
icxgMbpqEmKb1rFKHmfTHD55dmKRlCUcfnT9kdeIyXSI+5KpPBSc2XgGUy52flryufFS2NuionJ8
jruvFXujRR3JABTnXAXtxV8Ca7mVmSiJS6QqC2A06vdBCjt4mVzLfjWsyvhhYf24CTwyG24BbdsE
cbAfndH/ANkGPGfn6i9BRfMeEoa/RoH/wMKYbG8gyX+l9aO0ybijlU8zj9cgC7ip8heoz2IlPONR
9RTQJaoAHqW8nYPguKJPYyIJRMXTyOJkoxTRfLPQuPzYY2PigvLgj/FbmllRsTbYJxP9Ajs6SZrQ
QCvvOjl8B2VOeSRj33WNaLADnKLWaS5PVpO7a5Nk/yp3F+CDH64x6tHRHnA7i2Q0z5ObAzQ38VDz
g6Oy8/bWVKerPJ+yPXHE8amWVrS2Oi+8wECgdAaZoZ7B7su+t04xg90tIG3oAXrKDr5gPGCNPX7i
Snf7KmoFdG0slezxeeuwEDoRLnMIccb1Lh9aHLvtmNyk5rhPgdSsoP+M1JCNctMO492ALWkVOaM8
uLqO1iLvATjUIOw7AvIWS8H70WwEDOWk2nktleHaKLeVUc57U8ZLWtL/oicj3+mpkue2YnYwI3wQ
9HvARv8aS2dXBpRoCuo8yJORxa8/D/l816XBCTPdh0oHFx65DIywAJ6lnn9QIP9i+v6jsop9xWp6
XSTZqy/iYT9TArlSrf8G1bdZzzqEa2iY7ocyi2GalNbb6JssrKDHbLzIIoKt2w1Mv13SVTgQFJWQ
ofya9361snKm2gRx2BFQWtl9hLz7daQORSYdphOVQTqb/Cn8KKoGt4PWXnrCv0MEd5rw9cb23py3
tHt9GvuxOXRtdOPWH4TXdxiDan8bNTG1CmF0UAO8M1333SfD0t52HDBa9exhbrpOGwdcBcvXfBIn
147VJ9k4BYJSLb1NEw36GNeS8eiQLNsJcuXjvsT+uhV4FByMlLAcwIoZehfl4yNlS/43/NiTcTKq
jIEO6IfGE3urtwb7jPrdNJCoMBzcQz9dfp5Vp4BnGDoPDC6WvqIQI6uP/J4i/zLVdJJ2JZKMjs0m
xKyesh46KLtTAEYw88abhjoamhF9hqayGdhypj7RfPhpn70wDX40geQLyFGRGFw8EJqlCBupDbF9
tkUht323gfWUMWdaNI2p7ILPkAOMbWDU7DFKyFFJPI+3Ne+4F9qspwsUf3bJNBZTT1NLcZsYLjCM
1p/YdnSKx9LQJPa6MJfdiRmP/fdktgZ6XyfzRpjpTFcorPgoHYLPYW4w5A4dZT6ajdtupavZiaDA
ireyHKR7aaN+2fICHZ7WkVs1H4EXsXTIDCn2lWnrI2t7frQhC8ojSjboyLNY7JSp2F+Rpv4is9za
xJrl38qJqntXk6rG834sQG9isSn10UobXqSNHZzsyGUo0LDJ9zrFjGBRaq7H6ysHiCbOkWMgAQSz
TyA+oZz80/Wv+F5O/E+y7S9V4u8VVKODZafVa5O37MFGbTEl8OzhboCeBIlJLFrPXMgnP+VixppE
o4jaencdFFfZiIwyUuzXpcyNszyuQCrHAN+om4GeEQ3pSYK928vcbT6WccsJxAk/kefIjCuvG+/d
ODM/5Z3gUy9Swe9MZdBRu8V4n1KpuJuNSBzmtIPfUtHXsB4F5+XkzMIrl21f3UPYX7tTUu9ZqrG3
77pM6U2fBpDp4pmpCMNLHgYdAOpAkHksnd6F1BSIPOf+h1x6Q/NE9crwD5JHmjBR9Oazr3VDKiHz
oQXz7iDjWYRzuWvTYXBuMioib10MIecymVHIZpfhVTCnp+t9Z8TFvOsTPgF7Jl5Jgm5+iNoGa3o/
UmPMq4FkjoF4zFCEbdZD1i3XJOtQ2Uz+k89qvC1Vz2VjSLl2qHi9WIVZ7EnhtUT5ivmiJhA5xDoA
MsK6oPWBO6B1FkocPC1+YJbIp9Dyja0fURlfZfh7WkVvzFgAhswF/wQHgj6qYvm/ZcvVMsHiERu1
1XTp+UFQjij03lAzJz5Fpuskm7RN/X3ccN9HNCHfmIo5K+FDNvwmAaAfs+kwVEq4m+yZH5qMRvnK
KLGgrqmweuo5RvPGN4fg1EdB+RpEAr4eXjcYOhFfYcfu0CZBM1EPZJavqWowhdWjQZdb02cC10AW
mI9sDjjDAotoR1YmTFkB413Y+0Vs3bBv0R9b8DXglUSWnmjWnC99U1pAjlpy58sX1mrS6Fs+59Ur
RQIceuya/pS1U3BsGbnmq46i6VeaW9ahYCLX1vw7X8cpZe7eW+c2/ToyY7YebfW1EJ5PACggvNTr
4CRaPp22Dfiyj3wDg27ymVhQAd7qvt2GYGYuNiPwS5WD99IDXtb1LGfznMFhuCtsGZzczOY3b9n5
uJuCx+Fe2C7DD2RRqoeXu2CoGM25lctIwXWcfr0wNfVq8DvuEjWLt1AkFZkFzyjxiFR8p0vtgq9i
d4oDkOej73ClyLIaz6Bjgh8KdE2+8tvlHtQLhFy5VUDxNcWkrAOm+WAokIGQc9j2AWvrv3uSffKa
Dcb4qSnj8cu41MKsGhbkmlFqFW4jlhW8GauEiHrTF7fR0HbPsRi8b1XvBD/icsQ97EbZtAoH3kxO
PNQ7WnEmUmcEdI69XwefE+m6BfwnkjMbVTLg3mRVDCfwOo39P6PDb40OoGv/MrjevLav//GH8/32
Nf/+X//v8hoX338yr0PO5l/8aXKQ0LRt6TrSttAHuP/QD/40OSgTDArvD4zoJuTbJf75r4yn+k/H
9Rj0K4KXHgwdrBb/ynhif3AJ7jAVN30EAewP/yDj+V5UQE1gw8zPQYvCvf6+BG/yobFRMoSDINhO
/tadLmQs/nI1fq/po+Vh8nBd2h8X5Rsnxc8zfCSkZXHozweQRKt0poF5Klae5JL+j7nk/+Moy4n+
xepOaGwcaRunZaH40hhfyvF76/7GMvD3a/XzibyzDKi4dNi6c4huflDiYYo39fz267N457dY8DmQ
ReHDUpppetZ7+VpiLy16CgAPg+NBITTY1MRV+ZDn9d6NmIn++mh/O6Hr0XzY8XDZpXyv7arRHVsM
iPowlSFrE+SBVZwr4LxhlW3++aFwWYBhcC3s5++FHNHIauRlxolFXvg8Jg5920lvXgTFDL9RrN8r
q8s1NJkGszzxl6bIdx+TmbpwBG0OVeiiu0mzNj1InUyUJ87jqg7HfE/Eafqn9wYHhUxo0i9LKAmo
0M+3nxuDQTUgihymlKtoMYJZSc3wIqD4+Dfn9169Xs4Phj7fXFwO0pHvNLHUNqq5qgx9yKfIDlZZ
AEbSqCHZpRaWfcgD9X01QUOk6ii6dBkJ2V9/lO/1zuvxATehItMVY713H0yhU0UiDZuDl8P8lQUn
KOvhw68PspzEX4W/5SD0IwtvsXMIJM+fr+dolu3U+pY+UMph7tUQDfEqVHZwm1k0qcwTwVHgbuO2
1Jj1f33of3f/2CTucZjxzDKXR/lfnyS+64xmaNn6gNF2YvTiEpJLjImUuyGAnbDFdFdTBP/z14c1
ySX97aSXLhtO1uKlYJrv/WZNZgBF6mt9cI1Cf6UdXQxb1gLWli3tfHCpIX4Er8PCiRa1k92Ibjc2
Nh8Bw479NPbDPq60frGi2TbXrOCTjW7Vg+XmvbthGzrc+NA0GQzQG263Y78zqfB7wv7KxksB8Hue
lim6opH03MgeZa1kTujBh/S8Bh6U2R+6RK9JJUSCTSgG2dRQ0SWrqgmiUFfSIkdXtdQdOwGRqbMg
aIQ0TI54FblTdBG1IVm6UXM2CzSRyHDBr4R5x406ttmGtEtHW1Y+f4jB/W+iKrKIC9ZfpZUrbAYQ
RD2jpoZEzfnesZobJ7XaD2MxOQ9D0Jl7g3H1trR1wg5nQfh2prNrUp6haqzMi8dwb5vYzrjiIdQ/
2qrlh7AWvFFzMm3L2bMmpI7GvASgwA4lc8F1WHbRQ5D0w1e/BXbTz3bHmCcYuQ16QkFGPH8fChl8
iipMXJscnfADvgTXhj1jftd6NLI1Cnr7w6idMVrDeWxffCv2IhxYrfPQk2lZq+UCY+C6lEzoAO2C
nyZa6UoSAUF7Q+jfbokBAAYLyCWSyW9AxgBEUpiPE+M2CZ3vbYMheZja7lsyjx+c2fruwzn4TONa
uHY6I/7UpuTVxYTmQ7sjX6RioA+SzbC/isDqHZKaJ0aCrg+CMZjbl07w8/KR3yMZVXrKfbd5iZdb
Pxtrdc69LmIxPgRb29XkojAjE+i1kmNY2P3G15XeEagQe5IsM/NguMhrH1jp1qMjhj145oUnF73u
wByFA1izXNd10u6H3EsPiZv0T2k5d08t4VTGTH7DjQGd5iELsXaLLEhPOFoAwxhlt+0xjdx5Ppdz
VS8I9BwZZ2OxbLptBz9JjgkK7Q72PEli6t/NYN1pNkIkYUJ0+Vg8JQXoTaCHsXsHXT3ZR2Eo9qaj
g7cAqgLoBcsIbq3BR15KI9TsJeYANJ4Z/90UaQj8Ib22sCqc01Tp+qY2lrkGbY5H6VfyPjBsY48r
375XYF9vBsd9CfKarRGxCbznbi8QXpk9HmtNsUXXjaSL0zgK3lrMB0S4hrJd2UZn7EuU4B9Okno/
mGy36wb+zlnDC3mLKBPfhl3twPyi9nxrNK2PFOQv1yMgzb0x5/FbhkybrJt+pGcuxKZgNuZ0gJtr
3WSUwD4zNpi3wUQ7Lwdzzb2nCr13yQR98qygJ4XjRg8ir8WhJ2YsN043sqNXcY9Gg8Dx1UxBKcD9
zG/pA6BjDPztpehC/46cjv3M/h85mSyTsR1riPmDBabd7pkJkVfx7pNYF69T5A4PeprG+zGJ2tux
qeWNObKTBm7gnlPgmHuTGqg1wVz5VJEg2bT4wgBrMaRfu4L2qlUNvSICtB60DxpAfkHZCVVLq0JK
d4P1pyTuN9A/F8s2X0VUVD7Vuk++ubNsDmbPQyg18mbPrYFvAUrgrpqqZt+W8Io3TRU3GxaU5CCE
U5+zQRJXico6ep7Z7IWrEDT2MmaLJDBKRU6KufeJ3zZ8tsxyPk3wk8/IhtM6c4O4XieyEPCM8sQ/
Up3m7ogLSMwAoX90G5/xCGMEMsxL7DBKY/AM0uaeQCBgwuVTdQtzSh//GChFtTftcN8bWxV0Afk3
kfnrPqACGamUBY7FgOS+YBHwRlS75THWpw8wVNG6EjGtW54CX+LYn+HlKnUAO9R/V4K5i4Xh7Hwd
lwwlFQkrD3/VK50Y5hvpNLwGGdv2H42POWZqgEPhF2TWtUxXrEK6cEUYi2AYy5lDu2oZgGFmbjwk
rd5L2YlyD19Rfd7GMcNFlF0OiezPUJUBLIjiyWLbbmfLTD1tm49qbJsN217+qqOpl4mJkV2ukzyr
Ca1HBCF2vU5UvvRxnu9bvyv2DOOCbTybgnf1wieoUTDEuOzzy+6VMHB7pMzOS0lAJe7GC1KxvN5T
Hp66v/XRmxhURfAFNPXWF5kSXzKNNvRXCOXjoUTWs1Yec8gjuRvy8Uyd8xMkFMYAqpT0eCCPzQfK
5/iFqZaeDz6NFk8mUb1PV5NG7CxD2auT2628gvWMZG4xVx2HJYwenMYZLq2pmWURfDCeq1ji5jRG
PnrPpketVExAu8yOvl2HQekyqMq1dM8BhBHmEw0O5hp0MN9+w9uzEdVHuzLSl8En41gUNSPIWhpb
FwAd8idDxfA6Ol5edo2P+GkkjFEHyaDXNpmalD5KLA2Q472tJ+cVsHq2LSpucMI06Wnmjl7j3wTs
4IjiO1jj7ojlo3luUrj43EjhvYyM8K5NOh8OPAqudPCNx7oqqASz5aeWvWi76mIruMkG+hv+GPpY
lGrft206P8yG6L/3RWB8yFUVMLxtE3PjGfLPzyltR1rFBL/s6NjDTjiVecsolBI8sv/3hMAQFTOr
2xruGH8uusZ78Mt+3Bkkaz/a3eR87LXhfEzcarrlTSV3UR0ZmymOjQ1jReSDICgvtPzqxzLKi62l
i3wLP3O8vV71lj4DjFSed0fN6U4URcmLr0nOrsY+UVPbui46YnolN+JuhF92Vsin28JP2mM+tTbk
xtxkUiwcvsSKQs+OEdpd4JnhEbcPiuv1Xp7h8j7QoUtzH6OG8wy861Y1RbBFwQwhfZHpWzHySe9E
neRHiaj0yaeNed8GuGpBuvEyJAHExz+TVUgbCN4mCTUylr6dr/EoRjwCzWUiidsppaybh8J0pD67
uFN6njdx6QIKw+wyvQhsfS5Ee7A6M8gG5u2pf5OBvoFvqRKq9SLyTTZzb6fLkQ+GmTS0GpAUdDVC
m254dauIFLyqS6aSdDJSjm6ZOohXnhn5W95N/ZGycfJGgdOgfbdZYa4LVZTPHSbUXccDhzUQWvCZ
sH8LfJgQhe5kTyCC2e00mNWpxj62w+lvTOA/C+O5EYLhGtlDVswO5KisRwAQYcNXs3WpI5yvtmyv
rxH7qp4BpFlkLwKVZZtXDKVtPzbfrj4oh5qZjTMM4g0UH7PTMS7tleEsdkEMI9sYYzgCN1Y/nSp1
koMzbb120oB4LKak9tTjkct9SQ6q7THxrQoQ5g9CooSSVMsYGwf8x7Nj1CE0f4a6N11rQIzhr94n
Ntk1+KB1cKAywtnHdLxSbxbI/VDH++WM7lQ0UiPmu9GtOccWdPM4f7LGFBC6h1thriJjz96+paHP
nawvUzF5Ce+G+gn+Bz7ZNDbOiOX3Hbn+FTw5EPSJ8d2rW7UzneKT3aGCZ8kU3HAa6SYTJU9ON2z0
zvP0sC2ZwO6DAMm4YF1yxvencYbWQm1ZIUZo1C4QroheFsaQ67SR+VdVGF8Z99+NFhUa1jjky7qt
PpIRpP9hjp+HMprX2jPCA0+rPReiX+NFh46PhQcJ3PtkFARe2gRXC6hbmM/esADHbLTG/6buzJbj
RrJs+yvX+h1pANwxmd2+DzEzgqI4U9ILjEpRmCfHjK/vBWZmtRiMZpT67VpZlSkrMwkCcPhwzt5r
626DvMYqYdY6JfeLH1WyqzJtyYyNOqAkfi0PA4Iugnxtk1kbLQrRtdtpisNvQUv2TjIYqPzGdujW
gzsVdyWWGOJbArSQi8wMD2Fsl9dkg5ZftIBMH1b1DIdgSR++cxCHGijkVqlLrmLbjdPeJElhC0iz
3QGTt9AEBJW8lq6argmCV3cl0Jw14h+H1v+gspU92fZ6cBQINBWGWwKl4k1XJVTj9DTawx8Y6a01
1XdPTdnBgC1FSye1PLXqi0CQyeK2Q5Ic6vw723vj68Bx/JPhtY2+VKZV3HRVDBDQLNr+2p/G4qIZ
aTBBuSc/yUUNZWYZqPAE8+0M5OctkgJkfZehrPplBxfrszSa+Ca34IUT2Ky+2or91WIgPfRqdL2G
XM7Q2Sc4lZ/80Zk58FDcHvV5hbSNjBC80A13Q563hzBy5acwq5snHPbWDjxOv0+toDv02pj82cgY
lVFo8HKLtvGvO6fMfmQ1BLKOAK9n+qgF9lroCHsjMeWlajiB21iF6HN0ueSsW8t2PWqNfBC5k62R
9hi0sPC2XhXa+JJ0jvvFLJwcPc/kLoMgnTboNElSIPQHWEI40UUNM8QarTaQ1jQqZrI4jXdxSTZ6
SSgYr5fVdk+QOIZThCyL3nBXQV1OK+yk91pKSzpvKGgxyy+o2ZJC6NGyTozySYlYrBKblg6CEYdI
QIud8bbw7Oy+SLLisplS80IpxBvs5zOkUbh0k9JttZ2oey3bcVyytRfg8IjFekBQRmu7j4DoyVgt
0TNwiukXphb5DzRCmksWxfSarWL8PBiieIirpPpStuXgbEsNN+si8qsogTQwQygBxxJ2oTX5DUmL
fb58bU8kygZ53ao+3ndm+xL0Lu17KruXg+fmB8HO9s+8BDYJtB1bjZZcTUUHo6AWWrptUBsuaQgX
lwlhHiHK6bK5ohAYXMVshhaxTON67bpWhdbPRpqqwFzx/f8AJ4XhmjXNW7T4bxFKNNMedGZ7neCj
Wkl8RY+DqgULl2OsjTzzb+pSFN8pg32Tcd1/QxB5NwHzlhuHlstKo9uyjauJmb3UBLmnbXpHoCXI
EqSh6tbS0zpb+jYKvrDVN1NHahJKRon7u5DbMLSdSzOBI7wASO9chGA3dyBog+90n2rkEnqxsIQG
ciMYnHuOOqwniJO/+Rlw1jLwnuQg+4NOZMeWn0Jwy1A1dzKSPxxixz53FLUwtPndpkvQvfHcxviT
5039tlMOTwyE1RbkyKCor/BQhO88OV0o76OugJ/RRnywysOwnbOnGkPb21iatW1EaF5zBnlkQk4+
D+Vk7yvUpYumb+x1meb+c+El0zKlJ0aZUMRXNsRprMYapxhTsbuFElOR6dLntzmcDHa4GvXmrLlo
3DG78SPNvnYqnbCi2DavSEgXP40AqFkRE3uj2ijY+7D2PufWEF6mVmLdkXPk5YiYJ3CKX+McSEaY
1NuM6XbdlQIQQTPoN77f2kDiMBQUTVJsR5zrdw0z7qIdsMZ7XqdvVdreBy0A2cHR7b0IinHb9Opb
6OXOLg5CViw2gnsmUm2XCa+7ZCvn7HuJXqsOqoT9b5H/bBvyCFZpU34X6P6/1m7TIgAKEJl/L/Q4
1g9G2foHt/fjFdWSnsFWm/etqQ3jUgNA711FqQrMZZFX1bAQhKVYmyqnjLx0Q4WyZlTpfZ4ReJxZ
o7cNo9nIQwnrHgX0C+HPLSZqtiqqEsT1Tf2fhOtktCzNbMmmikNShZiIyJX4Ios8YwYr7kj3Q3pd
uhY0N/sxQ0y3lD5ER3aF6Ypyx5+1GSHi0EcCXWLWV7IJd+1gPzscQYZ4urSUfsMeas6Qo0ykta7x
p/TS/iALS6ztinwGMDzqc+Abu87T/J+hLaxrS9fMm3rwflaD1B4DPr0HkssIFbbqoqI1rgZ/VbvG
zHq3iq3uDS3QlSpf2U0APxg/whmP0vsqKKVfqbNAU+LGAk/r69f6q6g9AvMi6q9OFad7I+seYMpN
u8DmdOs5FPI/rrueaoJgFMZbA0rVxWv89nKBqnQDPRCXqxvrvjKrLScAYBMQKM+0W96Zal6L2h7W
T7bhdFz048ryNP1d1Lantv+zfi3Sj377A9gdQeDw6fFLoHex3Ul/Dv35RNlTj/v4dk9V74lPsB1b
Cjyo77oHjmgmvACk8TmBvLHggXwqA+qkH1/l1EPlFc41bJ3G57G7VuJJaWVGD+a1HdLBs0ZdPA7g
KuPyzPs7dUMS4QD8XEpzmBTfvr+EPBU4Tj2dJSKIVmjnvtlu8e3j2zl3jaPuTmQ1ps3XqnaIqAl/
UFvpZuccb/PLP+54MP4AIDEULefd4PBit1cm4YclC9inoNXNPTGlVMu7PvoSarRakCjpMzMPSo1A
7YeB71xr5/2nJzAlU0fl+/M4v8zP4ZcmqrRK5IOFB7XVgCPZQFZawuSrLlMtRvlTevnqd58r1yMB
xGMyxYt9/O1V7K3cEdPPLiNl8yDt8QY4knNmPnk/FgU9dOBw1HdMhLJHH7gXkGZDoEa1g3YIuKok
UgtPwaUTU9D8+HZOXImbcC2Cag18Tc7RMPHqKJrG0S12TG2olrT6QEjGfanix4+vc+I1GY40dYN3
xcz1Gmzyy2uyyywRnnKK3RTppMk/a266jJN8FlztP77Se4KcC67ul0sdNRs5qNqzcwOrUOdRvSNz
eUEKx1+BCFiyunx6GIGTbkH3+WpVycZd6QpNis2+dd1MZrOOaQFtzZqzdKYEVbBMIviy3LiEwkb2
StCH0yc/ZTMoq1wgFqVkzOaqWacmCR17slCHq75oKWON+HaXnLUBNhEKd+ZGpfHu86OVSXFf5wMw
8K4czc2wVjXh5S3PtA6bJy/L9Sujc28J5Yyes6mFC5kSfoig6qvC675xCOugcWVf2PiCIov2jFGV
CWLih8xnd9TYITL/7Lbs3U/EZ07EkCak9yISX1QR2GZfxQIdZl+g0eqg8Gqx1i4HWcgdDa5+1TR4
9LhOvOIc71wmEi1DnABhIZcuXHlBv5ycYFiRlpGS9BmYIHC8qda/O7Ow6+MRcGKsmfj5UXCwZrHu
z93SX8aan3UVbdiR5xJDIe4MT1zw1gdyERUieWJj+t3HF3zf+SXvzZHSwsEDweO484snoev6Mit2
nttA/YqKbF0Bh7m0RdlsfTdoLkPqL/fQ24LDx1c+8fnS1tZnWiSalXfiC/LPOi1s7Rz34Dh+6Wz4
+xVF33uM6vHLx5c6cZN0eZmNOPDw3+MeOs0RNp1jm++yTlEaxdChqNnA/MVqoi7sOonIPqXLNi56
k8rdxxc/cZ/sq8C662jekBIcDXWHLAbOnnm+I2k02lZkgwWz15tQyL+zs/5Ho/37K8l5kjIw8MJj
sGY856+Dh4NgHWAcTXdYjp7GMe9XpjsAjk6F+O1hynYDwRTCKGQY7/ziJRTFNiAmm+YiicuTTfVF
xJ/73rLJJ7Z//O4DlLrgxkxDQmAgPertbZE2XOYyrbgtKxM77Lx5QSOBwm5NoPM5osX7D5CLsbVh
a2DR1TpevioaxKHdZtyZJu9DoT1hT/tBcvY9gsAze5D5W367BeFS6HNsbo05/9WN/cu3DhY9GnON
biy2xLWgYOIVFhExaUcA2+zmSc1zu9HTV4T/g4xt/uiOlxdZOi6G5GRXGd0+8crnYjTuhUpIcYXN
AivTvPz9V8fGG085uw6ueDQiLWgruG+dZKe17X5Mu52UCYx5/cxl3m8YpW7hWAdsBGDCPFZWkWY5
RBE/egfmfzaEAy4rB1bEj2/m/SzCVQydzQYoB/udSR+HzADI3Uh2SnCs5biHprT96eT2TVw1dNVI
FhNjcWaWNN+vlFyViQN9uwWZ4Zh3ANYbB0CIqsqz8LH3KRHTy7xMkJl7tOqmnE5WPcJjXWCYI+IF
NGhJ7Vt3ts1QBRcpzaQNtPv7abSqW4S40AXKks3BvC2oZhMC2hj7wTOBPOAItM789idfzBybQUcA
z9Dxi6EvGaaUN9MdJSqCJEcv3msDxY6PX8ypeQ+/G3OeAZr43ZYzkxXLSFCku7xxIKQV3U5PjHvX
ac7tWk58sBZ5NagqAU9whn07EVlOKvKyypmIhlLQzfbDi8HWh83Hd3NqBrLZAoBf4FDOs3t7lQls
0RC0WoKCAEdL57BMYQBEU1+n39Hr//4umjMjMlGWjJmRdHxCxftuQ3XkEx0T/8f87FRk32TKf/r4
rk59PDMY2UGSy8HgeBgPNZkXU8HHk0aWe52MBnV23/pBxbXYqMBy/+xTCDuoWOozS9WpOQ8hqWRf
jWTw3aGH+okeCtkluwA4aZNrOCiCTRk/lvF0x3R95mqnBjzHHpPBzsnynVoQGAI6MqzLuzIok21m
W85Nb+LK/PhhvuO1wD8inhuUDcuRQOZ8NK96rTm0FnW3ndv2+mMU6iRyojgmwlSQLowBon+IDbdY
tkXTfa7IgL+yUkdsQxdh14SJje4SeHmjwmOOP4OmbNvG5063xskn73DC5suEZXa88VF+rRMqnbHa
DJJaYVM9G41XLJGW1BeR4z4R7lEuHdITLtNcRI9J39UXvld8C2nrTvbsvuwzeUEViezpUSvB4nIf
Hz/IE98ajS22oI4jYAscL4ipw+8QDWy3+3z6UU5Gs9FLFFV+ShN7fP74Wiceh/EqNLRmxSq77rff
tQl9Qpe4oXeTb/zQKTisMkt/rkfw+w75gpi07ObMDuPER2cYlO3Z0bBivdtid4pQZBUU3F5sfQmj
ABoHrXuKmWpaCNyZD5XqqxUt2W73+/cK882bK1JsEI9nSkmQRaTcuthxVrvC40dEpEpvkCWTTZQE
jyMJdmdKYKfeJFs2ygBA2D2msqOna9NyqGVV7DQ9qJaweGlN5qK56YEe7DKbg/THd3hizeEG2UPN
oaZsFo++wMxXMowKHu3QBUi4pepXelVUK4Es7n9zKQ/3u2uzYQTX9fbWSkdGTZZzRDO8Ir8Guoxb
02nsQ9Qaxpnp69QYFXxQsw9hljwfjdEOXUw+URnY1Vl7D9XjxbKq+7Tm/ZHifeNiav/twxETGKYL
ExAZOvLjD9AYKLib9ZTvJnNC6OP0t6pVq5I6wJkLnZiY0RbDIRNUnrFxzO/zl812OeHW032OgGlg
PQXDsHWn6v7MkBD8jKMN/ZtrHI0JTyNNSkqugarXWEBwLfcgaqxbs7WByKR9zVPUsUb1qoQ2FgcP
Ra/g3Fo0bFoQrhT/WiRReUS7R5KyoQnDANiAGzoSjdqTEBPemB6BVPmIQ8sv9Xyb1Sg0ON2OS7Rw
/kVouai1iWC/toyZZgTV1ridvAzFRW7A0yiyWm31rvLJeEU/9hlwK7vDYjaHwwX/HA5OuDVUPV6k
GEavOhFmnzpNdTs38e6jIqmXPOFkk1ErIiMXtdAOhVK2KPqpXPttaKEYTPrLQooIylHcbj5+vKfG
Jqu4YzBOxEwpffsGQZ9UzWgzNtEKPldD8+yG5WcptI3ICky10Mo/vt6pL5w9N5s9yvco44+uZ4Vj
TnLrmO9Ad881p6veTC76Jj+zeX3vL5iJp6ag8EeNwPaOLgNwJBRq8IiL0pObsowUwiH3zyp5oBP1
ia70srXMb4HKzxyZjsPm8L68klYdmyfK4fp4Q+aVYLDK3qImUozTl5DMqIWrpHaD2l1P1zTOOeNU
VgaPIOmqVUo4BR2unIm8MrsLC6mvFffahdBbbWM0Ml/6qMMYcOUW4wdtLC/+bhkAyfsBPRBImmDl
NQZ5y1DzV4Hh35kJPn53sqoFzkeZ4CrEnhfz+4B+KF8QfhvXpM8Bsx6w4OHo4v/PJmsZ1k28dmAX
PFbCOvcqTr1xGwAtlFvKDMKYX9Uvc0Sk11aWJyR3ARAb6S4txl7fJkbTnRlZp+aiX65zvDHqyo5Q
NrBXO9eaycnUG5ZEe6w/Hr6nFkQbWh99BfptUEnf3oxemWVRgW3a0XRyl+NsWdThzCcQ+MN6PGM6
O3kx6pWcWTzcbceHCFsxGeUp34oW2oSJAE6A9rNBBoagsonOPL5TE4FN2Z/VAsveu81vOo7CjpFS
7FSsbgCikcbpj09Fql6aCPNWaJ95ksapceFwSuIAi5fKOe7TTHWZ8nzZp8VDCk1kMo29O6n+wqQW
vyqEFu5kWeH4Lj1xG+l+uBsDlM1BERFUFbjJxivk+ODgC0Cj7Qcgqz5+0yd/PSZEykjUb/HxvH3T
RFrXWhKyzemr8kV4wWNodnepoJn8v7iO43JS5Pg7+2beXqfutDEsEeXsOImWVHOa53zU+lXRqjML
6alt64y2pcQy/49z9B2K3kPGjQBr1yAcD2t0bn1+owoLMLzxOS2q+yz1zhQqTg3gXy55vGGNJ5ki
1NGzHblBW2IbXjyZonC196rozpw5xKnxO4O4qUWD26aW9PY5NnO4wTQ4GdOMOX5rwvInTEDyAVPD
XVK+DZYzH4BQID1fR9UsONaMWZ6lUP6ANnqSFFWe/AqqVWsiW8bagtkgbNQdGZTgf3OCx4l+djeD
07uPrsWsCdCqRjWh1QPRN3NpszB/6r2Jph0ewlDq3+KivcKTWK6h/b9EbtcvslFEa2KnzbsS5SWL
vWmdGU2nnoI3O3UpcTBujxuwaVrWJEeW7PzK6WJqJmPR6PIJ8/iBmikRoWN/5oKnXvFsz8Ax6FBs
PX7sZWwEY8VmaBdVMAe6slXl5pVOIALgOot6FqZ+/MGcuEXW9dltDIednfvRmcSzRxfkiEh3UBrl
OlSj/SkP2aGNcVE/xXCaSaQKv398zVe9xtEmFO2NyUPlE+VoezS6Am1M6cym2c7OJm8Z9q19J0Oj
W+ZitA5hkaaPMNhgH0gkW686ZTcE/5C1E0AstERbrQfnd+bRGyeKmKgSqPrMs7bz7uwbDNZUktnO
1DH56NlEIDeo0sSm9lW9hbksFowU5FMWGEQSkojqrhPk1/IcilicmCtnXzhyDJjZNNrMt9+ejjTC
zpoow7ccg1F5FTdHAvQFAsvcOvC6nIsmRpKIzwJKWUoR2dDIyl7AE+mue9Hrm3H0wU288uWbSf/C
tjjfhj1DCtsE2Z6DZ23R5b6MKDKZsru1tONwjWBQrpSWN7vQrpz1ELbOyg0OZpGIu0Tkw2c+W5wo
ZIZPT6HbevtUd77qQMHOHMxP3T8dMDzoztyhPy4cUW6L07oR3H+aDHdgShGk2UP0FBlauPl4JJ66
FOpLtAa40Vk2jjYgNJ3gkc/LEhDScFVW7mzpGcpk74Vp8PTxtV7f2/Gon6u/gtMry+Dx8T/X7LTt
s4jDQQeMZ0EM1YjjY5LG1i+LDsZqahyMQvevm8Hsr0xTC27MRoNbItJyW+bgXF5/od/CN3yK/lRF
Xfxs/u/8r/1ZlKMiJaN5xQf891/dF4hPsw//ke1LMbMP6uN/6M2Prf/f698OXooZmfDmL9Z5EzXj
TfuixtuXGg3/PwSD+Z/8d//m3xCGM/gGNEizGftfKIH3+IboTwpNz/mvBIe//6V/YirMP/guIVH/
K4HwXwQH0rupexp4gr2ZKS5tdgb/IBzcPyjE8OohElLveqWZ/4NwMP7ATkZ7iBMP/vQZ/PDPA7j+
awzx7P7HJutxWRM+BLZzyc6akUZwwvEnVA2QZqu0Ng55KYk0WnaATIedsshlhRiTs/8twhGxcZwY
Wv8QDTSjIAKFQKdq0sOe8fTlprHCoynwKlixPdEHpr8p40NgzlRbz8+TAG13zdT4y5P++1b+DwrA
a3aWTf2f/3G0AkLvm1V382Lr8lG+k4m5dQtVVE3qgJ5puDXCXFtaBO5cjp2jXyEN99Mz8z6Mc+bT
X77LGS6vs/5JIATuDM8/mgS0KMUZRUr2AbT+JQwfLBdpRzVtS6EkqHSszFq1M5RefvWo1FXDspWd
I3ee3Xb+xgoQqV+AT5/dWx2NdJx6fjttzQavlJtHjlgXhHBcU9837lMT4dFW+nlxQNtJgz8AcNQt
jMRX9qIitXBaWojXkg3ZZzxrze6GWyCkLgaZyXrGTFbUkAhdLuWFfheslePH2aq3IA2ggNFqd2nz
Rqpl1tRtu2HLPQLWjcx7ZQgGQS9SC1dmFm1Hip+oCxpsUsotErxbQTQSDB15pKAa82+uhzJFvBMG
5r1BEiAEW6fm3pBoV1+1EINmYPf8GgP+5QHvr1l+NbseTbEN0iz8PIQZvxHhGeJiBIQ7PKhq1tQv
Ks007s04NGpWFaqkV9RiHA1w6miXX0zR5uG+UTXjL4DEtdRM5LG3k8rNe0RH5vAEuQeyszAbnlxU
o7lZjE0xFBeqdLNs2aHompBxa1w6LTv+btliX19jaMxJWJ4q6EcaEt/wGrxmbS8KbFwhbh7B/SOV
sp4BLfuP7Wh7j10LenJBiB9ujIpWE6dffrReVzwk+MK8BVs2Tf0l7EF07+QE/2rNcxTt0opm/FAE
HLmnI9ZU0904FbzWbla7Hdj9puF+ml+JMz8cD/E97w/t+sGrtNFYRWmjOej7uv5TCFf5RnP1EDv2
wMfLfgSLQYV3mTYbpL8UA6bBb6moKjurgnyStfSdgLjNysDX0w/jvd2YDTnaHg71LMZNhROzLZ6D
uLE+jWNgP2qdY1z1XZleY5ELns1eRhgbU+kuIzN3nvMg6Z5KAThxY0wM2bCHNdX1XeMuw5imyTLD
gg00c7CtYQ00xHvUKIA1NyYcerKyOodhg4qdx9tHma0+Qz+02E5ZgUbWc9Zi98FiI13YBKuYEQk6
NBt4d5EoZf9zjMe2/Mofs/gn9ZXhNsp04z622YIsi4AxUoPDapdh4Rn3ozm/eYKZK3uhETRoLxKi
2rP1hJ3+K0+GjwvIFh9lUha9v6l1wL1fAFYPt7gA+BAIxOIBRyYHx22Cnv9gmVNYLvyhVrugi4tk
E/vmcI3atMKmTcL8pcAtTjhY0XIVEHvxRKOw1rz1MMQ8F/g60J9AZxYHEFSmuk+mSdMeARJM1WVj
Kk1dj8SX+0QvCqbfiVBo7yEisC+59UnW2g2ZpqolwRPiYoJC1i2mMeNZKqyQEcy2PqLP5AU8iFLP
1M5P3XTYSGYVfFYVVbzl60BOBo0Xh0+V79ju5o+iUZKfMvSCOTSXhXkftZoB+stwQ/vLkLqt+Tn2
PSYKNzBeE+J6A+S0G8PmnFl0gLeDeMAMGaj4mzJUH0BQbYPmh/DdJnlSzBAGWAOfZMPPRZbnZFwP
geZ7ayfFOrk2E46NC2QY8b6uwD9TQ1PGVQzLc3hyW79KXiwnN81qIUfiMteZ3pnm54z1Z6oWZotR
6sLPTXB79M5tXb8ITTEpUgUduAIaJetv0TBRu44C9ypnZ/nF6lp/9lzeOfQ+SB7NivZhLEZtjZkY
6HpR1kvRBuGFSD1/JWajxCKLOFRSwhhhYziZtcNbb8+l4hhY2lMQyrbeyNKyczIoyxFUdwpDtyxd
/bEGN7sUmf5NyzvYY1DIF0RO41IkbdPdYVAKvqe177wMAXAWGF35ZwT5l22vqnGdkClwg7o9+GaJ
Ll9nLFKrAl/gLbjF/Jshw2xj5nrgI5rIAPJAmLv2AlyhTplgV4SqkH6KyiB9MOPaWXh63QD5a5CO
dwM1eGyUGMv68nOXTtmlJbt23fZOesO0Xn6LvTa862R63Tv6EG9VhV2mGnE16HGRbzvwmndBbacP
NDjrYKOafM4DZVeQJtUE3NNLNmiG4f+jFsNS6ThMe50o7ll0yi+5lZXhKp7qfONGevEU2vb8aHE1
gHmy2nxp09W8Ku1BQJ7sMkx9Tv0zUuDz0lbKnTn3v+FImFc4DB25CiHK4ssa2Q6sZu7ioaqzYuum
1YjKNRXFxWx93ASWcRP7RbnVObqscGmUX+JElT2rVGdf5KNvdOsxc9qrqpH+Hbm49larpwTLDJUN
5JaTy7nJtq+0sKkOTNjjjoLhSO6U4XH4T3pg7wrHoSnbZdWO8S7Ma/u+i7rph66n8YHMjOmgcuWd
AyUdlZrYn8xRIpSZ4BfRtj/ezI1ZIBtPNXKvQAZ0C5gzLDEMW+a5fJg5czNoTCy1rOPPuhbzkX68
JzuqEfAL0HrmP+Qc0nWjPvH2QFoVmSA/D6zd0JRql+Q+7dlesApKTXFK17viALFdnbnqvO16uy1D
ucexDIEJ7CaEEW+vKv0pdMLe8vZk3pZfCT9lZiobk03Ox3d3dAZ8vbs5cIf9Ok+X/vbb6xACY7e1
F/h7mcxbHEdXLBr5UH61Bp8Z6/cvRh0J/CM7dA73R4/SYBLRAnahezftvXVRhPJijhxbalHrrT++
1PudNKl3VEI5DOgUNI6VlhWU+xJeAEYp6KtXecve36JqucTyVBzquaz229cj7gb5Cn5GG2XwUVEH
KQfzRppZOKBD//GvNZAED5YsK6/ZDtURzo8zj/P9GHEtXDMUYWdE0jv7TJFLcDVpYu/bNprtHpog
FLg/p287eRVqER6CKsvkZPJ2hKS+2ec+yWR7kM74V6I82jru2drfqatwoCRdx/YQxh5/ZXYDStzS
uBevqt2VHTkEzg6gRn/7LcEbJDrH5bTDcfPoLSVVVkV4sK296asIAgNSBzhHPYi30W+Mq6YcuunM
ke799MGczhTCbdGx57JvHx8ccX/sU1vutcK3vxgt0J9J79iKtHSY1jngZRPmx8Tk9fGtvv+wKex4
NKC5Wyo8x7eKXjCC+I8lP2n5uHwinQ+NDVJ1im33TKfyxC0yOKhVsQenoHk8VzmYjbhUZu4HbMNL
dL/FYaqb8msqGTDJfIIb5lHz+/dHT8eln4/m7J3muNOBwoYQHPepDSAsz6S4SHU33HLQOfuhHau5
mCU9qhNUwiUpejOC7e1LLEJXuTqf835StecuYiOzUAkQ83FLoIci7DYNicgZ2SYPPfu6nr1WfdVV
3eBvpFZLDheF9QwkoP5Bt0Sw65zyNLx2E7s8J297P+/R3RM0mZjNbQo083f2S4c0j6w+GjWfEZ4J
LhT5Ufl1pujWC5SJDLXYY1v/8Zt4BVa+XatmaSL7SuxmeKWONcRBSr3EZ4nZa67GXndwBecHLHzN
D6IOWbHgFM/jPY6Mq6pNq69dB25jJSJvuK1qs0rx+LbTnNDQR9tmJK79t796qpwW1SA+Bt7dcV9B
r+pwgjNr7bPJZdOtW/E3I9DEHnV6Hi36Sj9Xxnn37dmwQ/kaKOUwRFGOv30JFakMbPphH4Csxa6v
x0G8GKucYTqUnMY/fvynLkbdCI0/iuf3Jkp3gqAZVKBTBkQz13EOkESvXU45ll5ySvr4Yu+mae6M
6rQ0ZsEa09nRtiRLNKOsfX2EfGNxsAwiot7ILQg5JX58oWNVtYmUCpgxa7fFzSGrOhrIsH2iwS6d
ngVchfW1zhmuXWpu3aC7oH1dH8q4oxIiA+lehj38eU4kUIEWVTovg0U13IZRQp1A6zksLWtjKr9O
jlI7XbMpZVH1EhsddwLH8wok+PYVyNXkhVdkvzsRv2p3UU+xrqGzPN6JRJBGSgcK/d6cRnfVY6k6
ZERsbQMdvuzHD+3dx8+lGAMSgxolvXeivibQzaYbQrVXmFAvXGStKQwesgAQxheHmRJ1rn44r16/
fPpY+pgPwVLyv8QdvHtL+ZSBLVGW3NtISF+QcXZ7JX3v8bUgYjtYemHCpoQjDIN5ZgEwj4cIcciz
a8cWXHmO4rVmtdcvc51M/SYibISwJoNK0rTSY9dGqTXiJhbmkq67+902kkSuuqI26isvKPgChQqi
ndmMub/AXD7e6m1GFXFK5npNhYeQfX2r+DNhi9CtMruOt6j4omsHKnDOT4KRt/PgnsQULiGq3Vhx
PT3SKWS501gMtmOjgPB0BFHUC9OuEXr1A6Wx2k+o+yUUjvxFVHXB3FxCrvQJs3miVqQDZDc91YYr
ZTcaESSRfY3zQ5u2YDqI4uyafEJ7V5k6TItYh07hWC3MQuIgLpsEKDnBygjoVgX9Uw7QU7QHp2As
ZZdaEPRag2CpfNFW+HapfetdXzyLKc4LvhnMSNOyLY3U+EGqXUJRXIv5XryhnIuhY5CE19048GeH
UITiwoagQz9QwefZoUrnUJJX2KfXU+X8vfmEl0/lxUvnfU1V8q2FeWqNP6mWE2eRkIDAwX1ETpVc
4GwcbksYSOE1ArEUTkZQdc1NLWpeiFnin1wXRlYmt8Wks16otjGqDTqp4TbB+nQZ2HaR3DqlUf+A
K8Zd9CK2phdh5638pCpjLkX14B4Wg05U64Zbt56tnl/3rjSI2FwnZiwvO55mR0WjpTYXwaYfNnY5
cnnqIFSumimkEO5mI2FNnfD5ieQU+8b3qRf5RTXErXY3QIebllUysWoRiSIp4YSpqM3Ped9Zza0R
wZZZJQyX8JrjIiAmY3R6gqi0SF50nSIscNU2nbacyryEtWLOysApYATl5D3YC9PpI+dSkvjUX4Qw
NElnG4wuuipUSk3LxSE3bQe6sOYCzA5VxoD0A3Vv5JZKt8AiGWD0s+FUaJFibXjdB1CzZ/RNAfhj
Wp0FdTMSWcV4wN8/4HuHijP89JrJv3Ynojr+KsFZacsvI8LBuJexaT1Hfhj66xriZbn767OyTeYW
GGTiondE7D7nyJhh8kBZuTfg40Q7qr3U5s1GMo0r4i7qbeXaHIzC1OK5mvVcMxdx3X4fo6LvNkNE
Hf6v1gyG32ffEvNGIpDs7dzCkc+ZEc+VWEV5flEiZd4NEPim5evy59gtRcaQ2pVzaUEFnBbkMA8x
OROJXh8yL+AzzUqNTkM6Sh6s9DsC3WLPDKKbOq/4RQyd2gnATLOGAWJUw7d2cITWUeixkuTWLfAs
fLKG1Li34ziXM00zGl9cjU7GOnYrU96MRkkVOBzZG+PhNXonYz2mDUCMSUi1gLEi6eYkfMGNcJ7Y
mCdAdS0SdkuxSAkV0OKF708ZtXkttUiTUTXVeijOPWEoKp9cKgKxJBVD1yHtQOIipY8C2dR2cf/X
iv9bfdJ/owP677VS/7/qk/LV/LL8nuiT5vlLXTSYDF5e27cXP/7zP2YHJP/WP41S7w+OmRwcaIcK
HC46C/bfqHvP+QM3A7UC97UXSungvxul3h9oyAWu+VkYaFoOi+4/jVLxx8zwJqB9JkED8/69RikK
7rfrN1ADDsE4smZV2uzfPNqpCjIiMrSh+iHXtSKsWmB6trYaDPKMo8YYynUCDr9YjILQvg1BGgbY
lLIR0FxSBxjYFOX0mcb60zD60iuAmMXT0zClUhKexO5q1dfG98A1g4dsaJ0lId3WUydl8wmATnM9
ocnwN1ER4zUo8HUT5snfhHE1eOVWi0N8fE2cH5x4mHbZAPlWNeK71kt/PNCNGlxKf2Zz2cWezB9E
4rfOZQ3gTwcHbPdttpCZmDnAc/PWrAd6Y4W+8MiPmsYaR2xSjyuhdLEMHdF+xX7R02tqCZD9lIjI
mvcCyKc3Ce/2DvVR9l/sndly3EqSbX+lfwDHMA+vQM5JJsnkIFIvMJKSMASmCMz4+l7gqeHUqdvV
VmZ9H27bfZZEKjOR4R7ue6/tRpZJqioKmDh7NtIZuhX7LxhtJOC5R9t12h/ov+Sja/fmsfW6dG9O
OcjZYN4Cic2iVpcZXjHG+vvczEBLW+LezdlgHvgr1u3s5XG56SYrg5ppId5WhKxuO0N7n0gnDX09
L8cj1YJCUQXWFgt6MEWDD96JOaF0tgvXzKuhF87tELCPMrreM459EEhu/UsQvyyl7z02a/Ko6mbT
P6q4s7RN3jZOscYlczJDXMtfh1GlqNpNEsVQJfMeNEMoQRCd3KAuyNXyeC/7EngXnU3Mbniex3PX
d4kfaUmTbr3MXa6ySuxM38dwTQ/CcBEOK6ZFZjeiqiIIiDSQmQBLO5b5zp/j+GAT2fnaLKR8gyLU
lqeg8Ao77JLRyw420aDFC0aVvnpOcEOQQNZTYydtC9UnaNs9u5FZb49p4lSQFPLCyYx3suJUwicH
ss9BJb0tWzsyZWNfAHWO20mPwd4RFnJkdg1wK3ZJtyH2T4h6zKPMIYzNrmUZgZPqUB91rR+uKATg
VI45bgtgVYAICBGtNO9JTM6mdMxj0qtbZwUKLuNCrG+9RmZKZOFw7ybw5J6odhWd6bOmpQ8TMvNQ
8Wt2yTIBuR7mN0Mf4dp6WbyLh/mRaXoLCRm58eLK/EaWmn5sHFvsuliapwCFUihoZ7ethlC4JMcX
1mRR70a/zs5aMS9HHc4kH1BhPkNp/V51xLZKI/FCoMJaZEOA2pGe2nXkfVn5ka7sQ9FNnBRk7TMA
kp6k1BKKRjPvWZ9Frd30O5tAWsGCcZOVWhUlUgs0ojPzFOpk+tNZ5Ks3sXUN2D4gPtfJcraV8CO8
VOMm6OfkBhgW4uYM6bnE09dlGmzXOltjXZ04slVu3PO/z8+5M2ukBTNnPyLw6H82RTOToWbx5vBl
O0CnJFqVAkmCUneopTxWo/MoreIKF/tmMWL60l5fQdpPmQtUTm+Dk5eM1zbIjlxUiGPT522S8+4n
0Cj8wX5updz783SbQ7gKA6efdqopYPTGC8qy2H5xLdb20MVaYoeLn4WtK5CRI4RjaIaPmYZ4GMZg
FHTQxSRr5WnO/Fu7AayZlwCMdFglIYJs+wGaLsutSVUsR4eRZ6tBy8jn4cIBKYnCTIP+4Kvic/HQ
RNHkByeomBA2FBsziBL5JQ26/NAzV9nwrTAeklQ+DNDjSK7eAGisLhNZae/FepqJPvaa0M9b7dw0
pn3NTOme6qZLIz4wWhok0G+eTF9BztPOmNOvtCtJMfZariiZLOAUrlYVFpenfs6sbcux/tDBVSSb
zA2OIveusaseWIPrMEY9UjdzbfQiSLfdN86VfmMOXjyEjdXll9wE3ys70e11PqidXsuejZaTXq1p
Cm7VpKNu0DpQwdAjE7KMWcndzVO5Ay4GuzlvPEz27ZW8K06XlNDVXs93uUVck4OR+j21s4uwUqqD
BAMiDKgRefdUVMLdmeUSP45ivG00qaIJZOMzspZnJwnYHGnDe7sEr25iHs3eIc3U6BsMM8UUpua4
w0h1rN18H5g5CUa5tC+mkcj96KvPCuLdlhi1dlUFPzV45nmABYuEMi2GsyNH/ZIa1rUPmpuiTV9c
ATPTLBYiAe055KTdulrwnbxTVq+2E4n1LG00/95vrX2b5dN14qODiTxgjuMY9b+LODFeC7hZG2V5
fNU0oplNbyC0a9gCxDxxO+52ziDNs3JzP5RDA1cbd2Yaibnw98XUL8e07g5oRk9DFot9V+hZlARa
w6pSI99OFNESB17oj3bAtdDu7U/gqx0HNgSCy0wm8ENa2ho3YSVvi35N2B0HsNy5k35g3rej0exv
pkxSE8bi2bCHQwUpOBgWCmseBFtTdY+ECFxk5pWfw1QBMJlfc08U24HXg3CgFhFK4Ow8zNYRsYmx
s9MYzksCuvoyAS0d4ImTAdlzCzs7mZPsZs2aw7ZPrDdifhuyHwzwoxrL2WbrC06mobSq+0QbWlix
KnWjjrrWZNg45trJN7gFm13VN/2NmVQxKg+Ty0uvZ8T5as+pNq7leSQV3g1CzXcuo46HBbFGdacn
zQBcZi7sJEMAmvfXKtf8Y9CK5TQN1rM96c0HLixorXGJNmIH8tta8d0GtjzbrufhQJ01t0MXfJba
cG+kXhaRT99dW6e6HytN4wIJZHCGGyiQeq7JVTswdvVJLu43v0XoPmXgxTXELwwuB7LQCvmd49U+
jMYcv+eLobbooIBcg0DY5vWQ7t3ChSkMhDUqhc2LbYe3NRV4S+SYdgvcULw0QTeS89b6v1ycypue
NX7opFbxXvve/OiNxJWK3n+zhNNEpV96Lx5g2o1G9mlkemn+VCXknE4jw9PAQ35rWVO9mez1S8QH
lofWZIkdAWkcyAH/vYQbzLbMfzRKfMy65l2DoBq+We0AhLRPL4UuHCLIKdle3hhl5Ge4N7kUKzts
dFWc22WpD3nfEzrZVsmtYRaHTsQi0hyv2bLgqK+IIyQARz/tH6A6+ofFc+U3bQkOMCanp6FF0AzK
nIDIYBHZTdV1P6TwPzmdi51EsrjhDtc/Z7lxdivyVZtAzRsi67NtzJ7+NudyvUEoTnabYzJ+IXjS
RGmBjQ5Ag7zJjRY+btfON6VNtvRYG9PGS+VnkcBAIc4gM+6bZjAeOSBbBGO9BVDe7caU2NUqQVdR
2oLi1WrVm2RzeE4IvdiRqZu96KOy5qj2Cx9Rgz1bj2VqGR8MVNwPILPgzZeVyR6npGAyNgdJzXtu
wp9A6+TTHpfDyesXLcx6fVNZ5l3MRcXie1sp8lJSVvUlnUeUkmKXpFgSDOaSZ4VGYifKIXmErcss
65ZGKyqr4UUFy9E1xx+ssdy9bHCJlezLtmRIrOIUgLTL5AQhRXLPp3ZychuKMzfZTVHXeTjZ/feh
s7vIhOoDkji2IL/WcahiuUZB14fU/orCbgjG843iYCE0CFOVD6eKzJdYWZc8zS1kQrDmisb1z1la
IiPs2DcJErfnJd0VAzRTNOD2Xjc++iKlYUIPAW4rfmbqVIYFqduxZlsbN21wdzoq9OHwISuYq60n
8VxUPHelmtqQxZoR1VrVRJk9kLk5SY6TzAkRUA5hK4E8LiL9PgYwmGjwdwS7aICtm+epruot6B+U
QVl5Bso1b/D4I6KbaA3RtoFhTryGmljUx7q2rwHikr2bWJ9F1T+jqnHuNJdUjJJ7itk5MxHzzBZU
020ae4Z+2jjqVlPk1KhFM19YusE0LcryeeoAuDLLpNTN4BFzA8KxVaMNSVmohmZeM1kjRqaUDYoo
dFpRVsfZD6GMDekS0OURb24J+AtnHauoO/nxs2cUNzLt7Yuygy7qZfWL5rcNRdpujXypo1QTJh/p
gNSxTbFo9OWzsnPAonaf7KRdBVsbXxtNt08ykJYXtyLhcJlHUe4C3ZEX148/9FbhOIQYtifZc3qQ
M1LIoHWNCHcEXY/RBHd6k1+qae4vpl5HZQ2DeWnVOjPR5wtZ1ScNAAgcgtqKvGFAGhJ44w1b3x81
943C0N5Mf3lPGnfvGW1/wzV35s0QKGuWY+yLYYsqbV+kvzRfQrpwW/3GaPPmIIW6B0l2JmOb45F0
iQjtgL5rGq63iOmsvdUNe7N2DKZV+Rl+JgU010+68J8dL8UmkS3vk9d/xn1ClKvg+amth7679er4
uR4WOP9TlXzXNAIeexLSu2xZosTybpbAf/WbeqOCoN4LimNIckBziWMzBzSqk0RvNw85ZuNIa3M9
6nq47aHwE/0iYoKLk0W77105+KEgF52SkMe8XCqBRBTTpDvcku1R8QR/n1X60xIjz0g8zmFqmS0B
kHaBhzJ1yreizjHrZplRAqQwccJNtVXQ4NXK25ipqsCpmsQHa5MEUuCKfZ5piYoaU+lpVAuWvuZo
INNj+Mklp5HPY+8XDDrT4UhXLY4B9Pu9HVT2riHy+zzqvbsjlexpVpjLsVLdBX6f31eZZvxysrY/
L2nmnhqLADizmNc4znjekcminuxqxkqlzHfu8PktMaRc8BP9blmSISKvM7mxmNhFPQr2W0bG9lYu
OMqtekKxA6F5N3i2tuvYamxwBNAAVGi+iN/eJOgGSZNmX5e13UqvnTXWW1AmbWBCbpNbWzMt4jsX
mTAGjfnDLxnDl6aHaLfgHaOpJfQFH6LK5yMObWSL43BBfkdb0aYIUUXwPdB1gvJ8D91nmSLKbZyK
Nkgtm1Hw49tgZJzIJQsqMY9rOe4whGCtBW7PDiXfpbVeHOkbj15ZodQuymG3Gjy2nOYQtkun2hYi
2+cYr7lM+dc+1+w9V2EmLtaUvw0igJcc27q4pVRThUZuC5e5Dc74z/ywwR2/MYn8Ic2gjDRG3mFt
mPLszWRvu2guD60AL64UsQEoCfVzJ2R3amvrl1z6WxhHJJlwtzCX7GJwum9JBCrvc8XHWK/E60CY
W6MoxkhDVRa6ZPhuBHru82jn95mJuFHU5W3iei+1H7R7+muJY5PHv52mXWXoe9CIRHl2DncZvN+7
XrBR0BBuInzsfi51g5Kwu52Z34dqjplwW2iCIYOzz6iiUiPHfOzImo0LxjVWG6Et5lR29PiA5wo9
uGgcmpb5NPJNjfrVcKb3HWckRn2ITMPH4OUfmeeAO5H3E8rrY9bO5oYr5Jkj+gXzVLUjE2jLVYsn
mSl/1A3tGPJt0C8w2My9P42MURaKLjNfVNvGdc61o5/322VwRSSlUQVcdJbqm7Q1xibjOPo7kxkz
Z+fVJGGJV0QMrPhKd/DHKFFcBztNx0TThD0TgY0RZ+Mphb4EwLv6qLo6eMgTjQ/Sd6DayXSD4nB5
RlFxD4Oqw1domBur1XdQpQiJBpOO8at2tI1beHPIBSd/KuP0p2/IS7uYZ+G775ZhMhV/7wyC5Dv/
lxpmoPZ+Nm9BBxGtVAYbmVeRkTf5ZpHDr6aDmVBo4nsqtXQr19F/22iRMAHbF4vPrGQhWmxTVcwC
UmOhbcljrI75vUo5oKO2V+6EzNf27sqeBHqNnp643QSU1jhwKR/krPhLVHIE78TQ6o3cVu1UqU3a
eez13XNTGmelOxGJcOxuJlH0O6Y4KHCKHuL7YniSCj3L/oaNMhDb1iyCEIsEseeFZAHCqdaF7A6V
Q7QRsShoeunIuyfNdst2V/qoPXdKE6OKLFZshL1xR5g5Psw+2+V2YEgzrHiPnLhh5tBrs37TY4H5
aAVhYt1NbAQtE4vwawj9Pz2v/39qEs/y/F9P4lvm4yr7x0H81z/6+yBeD1B+IXRk0o6C4q9TeOc3
8l6xJK2Wo78ZlfTfXO6C7joXRxLJM/23+bvl/oZE0tQx7Rs6uCY8+38yJv0ro5LzZ6Mxa3NgOAiY
6MbRRDp/1tYpQJqylwmuCEenyyyKxB26kPQH8vca1x7e9KT0MDE49TWDqnhZJ+ah9DEDRFXQ51vD
W8PbyAiat8qcxF3qd7kIXQ2VduCp/RRk1qmreoMxY9bIjeOjzQnrOLApAphPdkSOpeehGOsbPWFV
ENZmcdOkStx7teXvSz1I97EXe2QDFvTuhNZDPu+Fu1+yVB1ZDbi3fbsetTBiNRTl7L6h4frm2Zvq
8bso3VlsJiTzkZX2AzEba+dQ1fEV7IE94hMZp2O/Jlwt9TtjAciwwiISl/FqRwPJVnlkFbAT8eTe
jfHks492A3AMJH/rR+699kHA5v8cayV/eU0W3Fl55R/ruFQ/k8mMZZSWjXGfpU1PJoClrnZrj6dc
eDoLaJHPZWTl5s9cr7mhOngYmDZa3KOwhlwSvUrOxFlon5ULajU0mpoV6iKr45zJ1yGY5DUfV7tE
6g/PadN1j0HQTVwxtEV9rD6UV04FETABpuck9i/vGWUFSKD8CpEaUoPQ1DMFDCYQHp27od4lO/Y+
Mu3xGx5dqkpfFR8FwY+HYMk6Imiy7HPR++Im09WdtiTOSaiuOSmY6OcmLvAOOx5hRJPfmhsyLbkt
6HNvKj7PRLxy62WgxrvU89PwmO/M1irOs0FKm6pLlxc6BRRZI+5vjMzRiB7U0/0k4+IJhWn6TXRZ
CvmmagD0zlNdb2GmkT+FxoyoFLQ1AD4znj1G1nZ/29twd4Ga6ZYgKgyHWLqscu2EIX00tkS9F2Rx
sukMpvFXxoCQ1nFaRVhVwSK7ydPqPsNPE9pcB24SVS8bZyHvxVR+eduQBnRjsoKaI1GOzKWYq1Gn
nLpJXmJvMd0w6BP7Q06jDYkYq8LeK7gJ1dhEVgc7O2+aPvowvzIuuAmChySeCU0Ar9yk5Eek87Bx
lUPCQTB8Vp4ljrpifEQMkJZuhrafuaun03lZmPayK+6q56DO41etJAz9xGRe5luSGIwfzAHbPkz1
sb8Oy0gTNMzCeOuCIqapq2T/YPSV/K6QR0QkGxrvgmEPLevczdcWd4J/sGnO21D5AWwuc27DoLQm
cnO7NM3CPjasF2vQ07PEo/ZBww8UxmCVnEQkVQFxTCr/e+7p3i1JO7N+RGYRPC1MKZndsWxiJ8as
siCYo613flqV74gBgmdG/x+aPjYbt1HWrdG780+nUay4WsOoq23sx9VrntBiEJqRU1mZiam3zuOK
F7K3agCv192GwRY7tw5E5k1qTtxZO/WA+C+wATzzfaYKA/2CX7P1UapEtMwujsGVnGg32cZmAr5d
ANCdSNjzTo7e4gOzUsaaisn2vu57TjRGIWQ4BODfhsLOruZA2Eed6WLaaEEX21vbU/qbCWeDbRiH
6WDqzRwFVZnle69rimMyW/LCMGzNlKyt7qr8zOaN9cr8m8hySVyWwaSbwyzuj3EyMXb2tbH5Pnhk
WrKJAudAhl4So6ub2zu7Vdpn7XgM+1sjH+5nOWscLksahLWWB4odiD2A/Evld3ecx5+ySMe32a6M
W6vN4nLbjcQBrllUBB0FsSXv0jmIxcY3GyKQ0hFSlKmNZmTozWMi2mYD4Glk0KvATmBB2biVd7IJ
gtwMUF0egrQtNkOSxcdccGzWhi33k14+JZXT71s1IjlCrcjsQuEywck0VywtBneLfHz5seAyKreD
4UpIKX3JvDod8BDqfn436UYx9GfQvi5cMQhqTfZt0RLuN7NnV0J/9WfBnJtBjWV03WvPJji/i6eY
hKUgd++MHJfXYhTq6paFfnUNL7nnWJzQj4vlOCTjC31qdZUoDq+90cZmqGd5/DLi9Hi1UMswKPIq
OlpUSC9+5a43AdAHV/Lcqnu9n8p7fLRy1yalE3WZsBF4sUzhjs0IlP0axzbVLprKObv0ZtAzjCRA
g4a3LC85IZKvvSsgI7UFl7A1aZivesDQyVCte4OJ0L1jPWfeEisXc4tbuvjR9pV7JLtnJIaFoUGY
DnTH1qLNd5WW9MQuarJGnjXHl6Bumkc2Tt4x4YV/MphfjgQrOnt8yWQUx3L5LoCEAFGUJM0nRjHT
LhI/xKoChnwH81Ew/xk2fWYsZ7NbyN3JQC6WY34vix7jlzStu7hmccshK+LruMTr1sJkqVInJO4t
tsd3ra/vE7x9+/X9fCLYxrgJ8oXIBlvz9rlU2p0Qw8CF1hxZrQdL+iPusEBmE7ezUMkJO7Sjd/Np
Ziv1YAo17oM5CI6D0bcvKq7L+8FwhgPfJ3dmKVwTrNZ47BHaMcEGBvZf37C8T7nNWoF8GMlpZoWa
W+QtAj7Ypk5G4KQs7DtumvHt4gXTsaUwIubB/V8F/qdeZ8Gn0VomAUME8rxmjPS+62Msjm2tNXs0
p5rPIoOjhscvpUjbheVEa7zCLhtycc8mZPzeeN64EWCt3sw6I6JwJruwS9dDEy+Ime0XgNjLVinT
rB+rOXjF+Yn7biCmq8FlJXsj0ivfTFksjMFbpsXiEQFmK+9d1WbtwfLwrYbklQkHi6kh9RvTZZ7D
8NiodIk9N82adV/PO1+by/yoZLKBCUxeqZW63q4JXC9KsQrGUZ6MD4thsgPtFHFMh77T0lensZzs
3XT5ikeYPHVnq0Y224zl3fUacmsY0zSw50xEpvcnHllTsRUaKqzQ7zJe3mh7p2+sbavPfJjMlwBN
wJMhExICZfYkK2/elpYsj55sgXz2A3K5erq6xfLGAUhGbPqed+6b14/9B24nOghbodNonf7Ng6N3
cD2/uJdGsSViSLvhw0GOpsh8qxAF/rIWZ6jCrpFroijTeNxxfVYcVD13D5YzijlilM9oqlEsJZ58
t1fbEr7gQ7rQ77B/Gp1S+79zL/rfp2NCSQ2E4b/mPVx+fiiSa/9RxvT7P/rL7SlwfrMMvA9/hDr8
5QIFm/U3kDErlRhV0qpH+tstyuKqhEbcd7lh4ZlYPRV/VTHp/86tiQ35n0RLvu3o8JAtjvfVUWP/
kzS81zhlCYi0AOgMKdcGvsBMTCxb5nN1g/XanpsSfQfnc/p1VIv11HbW87tdT/Ki9DnUK/77t2o9
6c31zJ++jv9urQTmV1EwLcWadMn6V3utGeqrfAxrJQk6P7uYa3URX4UG3a+5bbB2ROyIrQsp7k6E
nFLu9MEvKXl6dd+tlSv4KmLABsQLmpjxtDoIydFc650uR+z3eqqhmkVfeC0gAV+Jv3kho3c5tnj/
GWNTP13pLFfKsrquftqdtdbZJe6mrTZaHVFZwcLw1RKIqIxpS4wbUpBMyOKpZ8X87nklqS9tTdKZ
vaCvlLJp7zH2pN9kKfo50muYw1YymLsg9YxHz5Hp1Zlcgsp0mwxDTa+mG5WM5o0v2+eS+0kSGrgX
WXIOCK51q1meqq4XkW5MH4I0R3agg2Bfrg3ZjcwqrqaEUbbfwT6Qhyf5DJ8LkZcXfxzSndaly0kR
pU07AX5oUwy+t8o52WPlsZbdE4icH7QiuWNMmu/QhAmkTw5DJ4xXB32sx5sprfqbSjMy9vAl/usO
Z/njvFZcQR9MBIkw73z2O4fZlNWtJ/Xxxm6r+QAJzHrPbas+sansHuGBkTWN00FsK7NhHa5SBFNl
w+0GKai+k4anbXCBVg9ap1uP3Wx3b8j4il+z2epP5tBnG/KSq7uydbSLlXk4c2k2eK/oRuVUBfcY
3MpXS2XDziCQc1N1pr4dK4EHQSdwWYM1ySWibe+MrkGOPXVTFFgDOMecBwcugxYEnyh3uDpJZXAs
a4sFUQDundjabpU+VO1Aur0byA5TW0nSil4zI8YCw17Lfh/MwT9/2SFRIDYXWxlJ1FcERGvmAlCg
TabdZGjBtB0gBN80IE3hsTb+QR/c4mdeJfm9TuwRz1Sy3Aknb5owd2LtkyWHX4Zx0hpBKEcXNQUT
l/5cZa4Hr4YM1EwQoAQYIN+sitZX9gv6NzXl040bCH2b2m1/m3kNV7+6kcOD0pLlTRYNTDOtaKZz
42TJU2AL586XNneCJtkPg8dlEcs3F4HU3ArH6mb0e+DTeCYrj3uhRPibQl3YuC20IRqTSmPo4Lvx
kc1NfARiqo7OnLdFiIyHTUc8SbI4XBWXLxwjzf1cFcuhSqS+5WbjbDOt0W+JY6rGfT80lEzuNVuF
EvCuTMrkTqW2uXGla30vuEKi2WdV962NUy8JJ7+fH+kSrCRqqoJIgNxIDw45Qqd+objDffPGOBo0
4tJ3VTPrgAjw9bHbrkR50djxvHhGJRsmk3XcRLaUMSdJRtrmUtY/CkPX/bB3y+nWWjwCPDPhEIyY
k93ykgxtG2xzvJ0xY1gCcqzMyOk680qau4kmAr2J30wPZqEb31QbV33EsFk1cle4NROpW4IW/Cnj
g0vKHo+5GpqkXHOTZ5dpzKT3rf4YMwWf3efEK5vuSvZiPyDNwmZZnZbGRM8XdT5qqGZjD6YYH1U+
Jf6nnYg4rVBeFvroPJeIliFu+Q3ryh0xFF3+Y/aaxhB7BFRKUbgobv/T89H/dX0AFdxASPxf9wGP
RMmm/7F5F3+SNP/lH/61F3B/szHSuQRtWagF3NWo+8deAJcd8qW/TFr/3gw4v+F+NXEHrjPTrzbh
r72AiUTaAZSPsYyRKx7qf6s3sFbB8h8MSeTqYFLWdca3RmDSJaxe1T94ggK9rbo4ltrZ5sL7gA0Y
EAqN67EsFrH18EuQBD6YV2K8hr1f28vWGObguFJANgkKUIS5bnnGv1FGhuz8A601m8wYlT/xVUYe
eZywXM6Sa9JYB1uwNI1tVUS2Xb2MvbgfTVQPXMFRrAkzZaucs5Zs7YAhTlWErS10dkN2YT52FSc3
Ar11zJGUFxuy/hO6kzREOmxv5l4VP3StD2ffemYf8stqiNPFyfAwB3N3zWt3XehweWYH3ZfXLF96
NH6+PM9eyvx4oprvB7SLCBWp2PPoescy4ZKf50t3slUcsPLpIaWIenE3CW8ntiMsYqyBGebCzmjK
0JuklSIJoD4uutK3eoOKqMHCcKMr/1AU5rXRGRhbXWDclgLUVjyVm3wK+jDxO47jVDBPkX686/Sm
jHhg6i2DN+x5ieAQHglYFQRY82GV56VD3Oo5mncqc1ZQMRPcsLcRX08mUxjykjGARU47JeBClkfp
VHIzzulLMBvm81g67pHwguGtMpCgpK0MNvps1fGFARZ1tajTTAUR6ydDPw9VbC2PlbKE6LfZWPva
pygmICphXfTasusxe6mwr+oW3JFD7haam052DLXwiUmr8pkwBDraY59lKjvGQY77kvX5AVQT7RnU
FwqjwbZqKqvuqnkd26M508q0QzHSWgOi5sy58YRi4myg6NpqYkGh0Q3wv8O8t8VFQ3PZaBsN+WiC
96tRi1K3uItxEZFRThwuq1l+UOsFUYOibqlOXlx1rnqrzdi5qqUZIbkERBcDOg9xk6h8fIg7Ue4r
iaorubO8BY3bDveWjucRWa/qrsHvBzireE5zbfg62qn9BQe9+fuxT+reVxUQvxeFEUsjJUJ+1Qtj
LR31WkTGr3oyf9UW86vOiLXkACel+mj9WomytSgRAr4G937Vqm4tW+KrglWB/IHzafWvSTO+4o+m
Eeckoe7loklf4t+rYT6jzSnXIrkMozvsiq/a2cu0ZhAKpeU0r8UVFAO0x8Wj4o5r8VVfdZiZEhfi
r+rsrIVariUbjVZyJ9cy7q4FvVtLu/tV5fkP6LcLyOltuTYB09oOkAfV3Lutql5YAtAteF+dg/3V
RRC2oI7m2lpguYqPuD7pN5yv3iNZ2xAD/R4uvrU56b76lPyrZzHW9iVdG5l+bWnk2tx4dDkgQZ27
IB+Sp/irBfrqhuTaGP3/gvjlx/nvQIira/VfFcTLz/E/Du9l03JE/PyH3eLv//IvFdH7WhdSEm39
j6tFz/zNcTzTBF2zkiZw+vyxGuLW5rkP4KBwrbaAsf69HEJC5K/jGvpKsbL+nXL4J7f2mhfMD8KC
TmwQXN0/Q7+REUwJU88Fag2iCWsh5MB0k5c/vCn3v9fWPzILueL/seL+/ktwHUPt4HX+E/2hqwet
gQuwHHqB+XHy2gWA1OBFDSmN23/9q5hb/NOvgonPKWfDTP4n5kNd0qLnibUQ6ZEBmCoycSZTMMZM
QMUqMKMfiNjFPrs4dojYuP5vfv0/vZ1IJwB4MJ80DD60Pzu5EXP7zuia8pBX45NZet/8rN3861fI
Q/GPr3D9FQ4ZWfAmuGj+mQ2slDb3emzIg2OMTwDjXtrAICQI7gzZ2ZKn9G/93f/hkwPN8M+/zjZx
ktl4xr+w4fz5H7olK5E2Zqu2PdijJU+JKI0mqgOtPAmH20mBRcKOR8naKJGdTtA74rBQMitmzStU
qTaMErLQMxNufSxrxBHtaACLsB4CpDtsswFit0FehaY0IFHBmg0VUxYOydL6MPNxzwWl+1XZK9NR
dbr5ghIJb+wc9OWGuaV1wZEWbDCpWZten6eXOY/VTeYmYxJiPiCR2yY75sl1oNVms1fTZSnrIU5q
587pKnF1HcRcg432E1BbcumHygi5v8TsAHvSEdhI7YZ+WY7csG4RSg3kVJS/bK+41pn9iQT/oWM/
Go22X54affqeDCytgzJ3t5rDzyzxum1Es8i9kE4WqcogIDwff6o0kEcvT++aGStdFtRACsyy3zKi
cC8Tqugo0Nz4ZCbWi6cZ8SlPsy6SLa6NbBiwL2vB04RZejMbeX5ZApk8dS7+pN5nrhIMCfQ2dlDT
GA+k3RbxNof3dVu1TtSnKJZiyDxnJ9FdsR0xV8zrXS0JiK7PMbdkUAqf5H+ydybrcRtZt30i+EMg
0E4BZMtGbJKkqAk+2rTQ9wh0T/8vUHZdWeWyr+celMpVVpKZSETgxDl7r+0AgUno1wWGi7W4+Yh9
rxoRiX01d539ZFaO9pLkY/eJipef42Ldv5ALNl4VXaqOugS7nHYdTnKIPclVVLaUKAXdaaNqiR6Z
mAFw/mNSUddLkE2VYAKqjP2YFvqzWecuMu92RuiUGupVpTrWpEBfxDUYwviSJu26q9Ja+JFdQj5r
oUz7U7ohyLQuuo6ipLtv1qq7K7v+OsI490r443Ax0T0ftxrvRszSJjyZe4EOebpXQzUfqlK+Jnln
oY9L0admjpyPZp969zqT+YMmm+5mjbX6ThVLaDDovYlnmhBMZwt9300gPym3abykdkO7a7bSQ+eZ
6iqNptyH0mXfgf7bR5Gs6X8MpMp4Iv6SqTxhImO9kD10NsuoRWw13TdLTuhXTyNtzLSDiaj6aujp
W6bJCJ5FMQOA3ygOhmQ2wuCvOC6IVk9W01PYQ0bGXx1b9adygRrGHQ16BN5jrN/LqF3eeg0dAxBI
2p9xpl0NsW0c5Oyh+SroIyA1xO2cR60TtnrLb6P6RoPlaZpEwQ6lJmoSACKaG726+UBUiBtDtY+i
6WrOMk49tZoC29OSA72liLVPd56gc7qIkaJVZuWeL+1iOq9GIq63Ccc+ygCJEr6U0UhLq9B2kjek
HS+eQKkSD4P+QKaXfjRG+QXf4TV5zfFjXutM3xyuNBLa82DWKhijvPOxNg5hNI05okkQi/aa3Wh9
ixYWhUKInf8d6iEmPVhbi+9G8XiKmMbBBNfvkQ7vByZiR8KEwRYybj+sOT+W1ID2Cee4w7SK/Jaw
abt6r4xavvUj9MI6aexdP+/bJpYXy2q8oBJ5V50qZ+zvlNZIZjK6e0rLSSI1T+i9fVRwCZpBhHfN
ehsV+YCZPWqWp1q4xTUb0noSMC8ZblmvXc14n6Oy5k8MzgPIcug99OQ6dqGU8wBAq6NziItjSBFF
KarbvnRPxWg85WWCMDwS6AjcjmOcqzGrRpET5Zp7E0c5mSxexkix3znKMN+UbjY/Z0qOnxr6155v
Faw9tgT7U7rQdwOdVJzs0iD43qUeJyJo+lzTOvaphjaSnpctS1DYLCDkx3P21aNv9yKA5VwQW5j3
8CPsEHykCERRZr1PMKpEcJEMOxtwAevEnt/LcmHISBwjl7kK8s7Jnq2EPJvFS5Gnt12x2Y1nMwBM
ZO0KFxCQWh3zupCcD5kmriM9VFc7ovK2kUc6vzhCMtUdPb73NrIytJOuQ/bVLA7QBkoUUOaCEnwB
75GbKE1tLyG5uK6v6llZRwtpwic7Jd8w0eL4i7tV9elyKJaEyz8m85Ng5woN03NpRS/FRcIBDSxd
NCBkhtx4NFt7Z4PveBmW3Pwyj3Zya3f2+tJXMgQijCc2a7ruVolmwD5BttKANoIWAZpY7MhayMPz
a5X3hh+1Xb6346g/8XycTmMm2TPamVTCK3SVi1GERtGrb3XFv12vvy3yAeF8VxX9l4t/K/LPv3b9
r8sfK/yPl/1e4cufPJ0WFZINwiK+Tbl+63k5FlU+G5qDJlBHKUhx/DvuXPwkUTTgwtvKOUduU6rf
inzp/kR+EUMz/o0OSonR2D9QEXIy+KGK84jWdSyo6yQeOXT5fjDxGy0sZ4kM9uiNWioBn0pa/8Bu
8is42dbVrHft+BhbfXSu9TRRpxE4+X3SaGN5yJG/5gi6RxxcsABgYUdKYrXsgCg3cxzE2GDTe1xi
Onps4uhjr2WLQSJwG+cikSEyvOgyG5X1mWX/VqDNivlRFwLMrMeB9tJ933kXFFpI1YnENf3aLqJ+
A9eicKJ+ulGTSe4RC1k89Bg5GBkP+mcPWC4sYy01Hqpqys99h+65Lt0UBT4vpJ2l7TAOzrflXKN6
1oR4iFbCUkrMLV97o8M/09RyJnmlXLsTDGNEOqR4NW9yxEG3TgSIrybJrR8X6oNPt6V88P2ncFl6
Xj0RTniy8m51D9TrJGJmpTqtiOMDWAG8sLcmhHYGvfrMt0uv9F7GbG3joCpc/bNTDuuN3YxeYBke
4AI0NkfUPt1p1MiIXYVLJAz+wWXfp4MHHBrRDWMKr8NflKYG5U7PAafLXGpgo4m1V6Wk9Yius8Sc
o6S4JrXR0w+TJYrnJS9wMIyxEp+7ciui81nnpxVlMn9ym0L7uiaTF8yyjc55MifvGpvlbUM35/Dx
/vrtXXFnk6qe8efJQFtf+VVJYp1jo7zZ652qDqh6RixozUr9yEVGtjTs4LYTQeIMqcFjC8FY4qsh
z6drKDBJApNZ5OuRqUsn94kFAvsg163cyCKMUpVW5+fVrE9jZ/KUxI7OVpnGxucGr7+9F83i4iDL
Tc6TQ8m9gIXxnNE9CvntmPf63kpRekFlACxePHew0R8Ten2f2ybpr116qJcM2NseX0tnhxSi8owI
Kr6KWqSMhJ+BV4HMfsWRNQ1cO8OWgNQm5cjCh8xW5m/WahAXAnXT9HOrxSIJB8De7MjoIqppObhm
7x3of8qvk40vOoi6sqyh+8L9pJWKPGjvZfqQ3OZFzc/yVNHs7RrfnBGYcuQbBgpeO9luQNX1EJXe
cpOuUx5IHiHhOujRTWkTVkBkweQeCGMV+65I5HNB9X8oXfg9iD824948pKVL8pnePw61+dkaChxO
lv5SufOSBVtnMqGjuGoQkGEkl3G0DkEvbMLf3RXLvWM0gdLz6hxHrol/gnBDrDNFfdfba3nfa9Le
T8tS3lmpKc4qrjwfG0i8K9HGb8bKYWd45nomNzqnLWlMMpgKSz7NNPh9q1wwK4L0Z6GiafVNsLJB
ZcDBBMcU5ftqGKHS1wNmOD3KYE9NvYadUPY3CIWQnLkyv2JQZ90NVoxlln72xhXqdRrLENcz39U8
SgRoQiqcZt35PCIwvYmEiH9ZuiyD1AIRf+GrXxsvDyv4YWTeiRpD6pKBhgp0XvO2EmRALZR1tJfj
umwfWw+vGXJjkexUMgJ70PJqfZqtRWdY1yYELTYd2M6mBvJuLQejdXRjJxetBhERN7SEK0j/jT8W
NO8NyMh4PCscYhMbhfBVMenhaNvL1UTUyX0CqvvF4/NLwEPrnJ2asnb60F7j7qwioAraYm/IoolK
3C83jpKvt0oFgD5qOF9V0wVdYSQX24l1hv0FFgujK7OrEen3Qg5Aivg3M3D/SmKOg84b50Oix1Uw
LeUbJK1216WLgUy6dW7rRWmXPMdF5CsjWffeNGeY6apiQLdEgNodRDAkRRUnxnpiM0eLxK7U2yp6
/dhZ2nyIvnpzmZ+LmhVKToOgtb2tosZm05rR/j13E1lGtobMGkUmfjTfWXjCdLVdHehxdycmoobJ
cpiMB/Rk/KIh6eYQYgvvpBhJUZ90IP1+MmledctYdLnFA1gvYV2Th4ROer3pQNN9Cxv7t1z6+3Jp
C6f7TxPpT8ulm1/n9Jf6h3Jpe9lv5RJsyM0lYVuSXGly6L6jHgndQy5E/AsyDjKAMWP8p16SzqYX
QjLn0sz6oV6ilGIaj8QIBjeQIhi6/6Besn5o4+lb/iFNRMskOpSupflDudRmZrFOcZVdd/h0ljez
NuloVCaDt52ewFfhMDtx7l8Ida37UjvVRoL1NqBtWx3B/+kHBHbLeyfRfAaa3ljBzLB9vZor2/mV
Q40TInqwu7Ul7D6G+sITppgW81FDguEqeMPKMJr+vXAqFBH6AtbG2hGRkCUYXlNtcO7HWo1wlhp7
AMLyKCtYPYE9Qdx4hf9VpMt2It4galgBq/KcIlIOZtfhRD6W1kIgQLxa+ZxcoxtsG/cxMZx1I9tg
Z2HPEpjP6N5lVVP2l96lgt25SF8K/SVtnWFVh6oZXYafvV4ChUrhKqLL1ttfEq3v9k7bLHeWUVRM
LZcp46Wkfq9fCGdy0puPu+rfBfi3CxBn0V8uwLpjSh+8dXWRVn/U7PFl8dLfzyzWT+Y2VsfRu00h
Plbab2cW12Q5beMKHZgXkAjJCP+3Qwv+Jqo/AR7bRfzGy1ifvx9a5E/8VRKcYJJx7PWgbf6DRUi3
/sdDiwDnj4TPsg2XHcP5Ad7p5Eyp0bpmR9B14IKFlydQCfsYJKAxdgiQhrHRa8hXTgJfAP+jeaKK
8HDhruz6gTExW99TdZX5rrbquEUbVgt4Gw15N7qvJ7J/L1PLvUYoaJ6aGro3LQrzNJgKhdli0NaD
IyA5CwnaNlNWgEplGEyTGiP2NQFD9WvVu81ro69A/YDtEAFCL9O9Fgm9FVx94pbCH+ZIXcW27ava
cJuDUThJt+tzbXvJBy8yR7R1Z7SD90zpzi+eKBYQuPbu/EDknvdcpmJ+6HConqJ8Q4PKZnagOBpV
Xp9rIlRcLKNO/967OvlJVQn98CMUSlQfASgmUUQLoAgF9oeuiN8AXoIZacRgboUUl20ffHM2pmRd
a+oox0Q+rZM731USFGovdWinOBnFbWxsuVaNQwTQt5AZJMLwSx0vg7GFprB/zzrCstklt+AUwkVf
aTrqoz/Ljr9mzhC/y9qy3paY19Gb5A0wwODdTpAr7nQZG5csSmimK2kjRLO9mU9tbnheN5eQUzOd
z06mKGkvatLlrW0CUKhIQLiVOa4fF/4lTuoUEEeUjidZQw8lXIrXfIuDwCtNVkE5lzAXua+5wt++
0EKPgavii/CeDbV9w3Si5zu+0r7/bMPonq+nJgJRO8MCLUO9xzp9r5UGH6HGm4sWfUz40+0LEJ8g
MKEpYwfiPX4jcbKpa1ZA1HGcHtqhRAzfbC26F0pfcJJFuVKtj9P6NYm2uBx9rLznpZgehrW39guZ
wmYASw40G6XOvTOaHDggTWhBI0rjUpG6/gqBYLtrS270HIBGtF+amJ+0RgZ/OgmqSN4JNxEyRCK2
aDIxixlG7gaj6/lmPTmQv/WRQwXQWZk3xJRsKRJxz82nGUAoo5FHmw+PdHh3IBPFO30LxUqmlkWI
Ip8vGFUJHFfXi7fHWNZUy7nCxp0GuUfRuBu5RW2OBhXJYajZTWLVI3nSshGC7AKOlZHDqmDplnj4
oPVA3QEVxMDVj4SC2jpvHr9q1fjuxu0+WaDOvqrtK3IlFunSUs2rK3p+2NDq6YEEC+J0TEjyyzh6
u8YUzStO9Oj54xZONSKYlryn3bctdmR9zWtkEyE2ScUlmYx4ufsgZCM0h4WcIC3dwyz3nik9uHAD
5E0ZNIXLDaMcUpAKdPTcAduS4AyXHnDVcfFA9PBl62wcPBvb1w+idGs1wDltZYuLieHrWcv0ET5a
nwH7zNq4xDXlsDjtGt7zytAF6IQ1jYw1Sj6ODgf2W5rXpodlPejok3xNkvzW5+CIYJ+Y4jIaA58a
Cq7hM8+TJL7U3vVUF9712oIz8Qlj5ZaoQXzBodHcDmiF0yfyLvsgDWsExrOfkr8V6kCyj9BXdeDX
5MpZ7ayFckq0Ds5DzueVM/re/dovKtl5LAoGxh39AH+V7FilUU/Jw9LPzQ2Wxk3O0XK0X1jLucf2
7FY5IVClKPg5GKTNE/4ScAsDW4bOTPMyWI3iCoKse2i40TFBJnn7mutRe/SYihywuBkXB8TprU3F
FGFQy7r1sQerbR5nxRYpVz7wnOfcUZqHIyUsQCJdIh0D/Dmu0eDsZFUSMYbKFASCvqYHZRpAYccJ
7neRbij2lOCHHWHU3FOcfLnBgUXztXY94XA6nhDQFZUQl1bBrc2sZVpC5pwSiaZec7+IfiC2ZEtH
mWiJ2X5pt+I23UK4ypIRAVOWZrOPeNudA0OlXs5m1vHjDbq978jLiJxILO5uj18ht3sPqozIrsxG
dUclNsH4xz1voiIDrzHwmWGobPe/wpB8q9IRsDa9Mz6nvj1GxgmN2v3YUu7t9bRnf+v6wQ1pGGz3
o7dAzG1a13vW5BYv8W1Ly3qRliFcdW4lcjg7dcrcHhdLy3CzQ8OuiTvTZnUVRc4wQU1cXknA1seK
K0fXfJ4qCMTB3Fpdsv/YWYlxEfZhStz2WaSANJ6nmIimF+sjWq4wt11KjJD9zWSw3rwt+CVTbXkv
EmWQtVW946r0Tl3TbA+DVt8ezlHMDuwVK0EKq8VGhsSVFezSgxL+nCSVSHDyJMuR7UeWUyhiWASJ
H0PfEUTwrd5VWfVDAiwtmkmIY9JX3K8Z6mU9pV0WAOKJn3mUwgIfaFacoZ+yanI1s9eyJoEHsMXU
cOMN1OWy7ez3uiqf61h0Zy+alT6hyptm6hDZXQwTw7G3PYjA1BUXBNoNNDPl3iHy0SPW7ij3XUs/
oRViuLV0ou5I/4whd8bJU+q0VuEDIv/SopjTjLq97nGxB93gBLqTsQZ8VYpSm47DsJz6RDXA7jyG
M1s+YR1gOX7BT7pvmA/uNbqXdw2Ktax0HiIDA8XLYheNtsW0lYiRMHKW7KoZK5xE4nCVujLCBmle
iN14hUvY024B3mhmAV7n8igwCiV+ajYoGc1c7vPKGEEjpOse490E3SnJgW850zJCRGR2uF9suD1H
1HFpF8QwGWYuf+JdDdJcP7nz4Jz7zOMxl84YEGatobMxiSckmvWNptvVp3TN3bNjRNy9gqg+O3Hr
XexmDb2MZia1InfUFegjBNgkY0q/16z5rTDr7Glxyic4z21xXbS9ed/mkBa1oZ/cwFw7b++Ocvza
L533c+LSSOonD04VN9muBTwXunSKgMplGAjGdgyXeYBR5jYzeFITAZ2CRH7jdkm23HC97PdscKv9
qjBqLEWqE185PXkbUDZP8do70fRljGYyEDPn57idl4fEWqpQgJ3ay9yhnz5Y3X2vc1mhj9o7ay7n
XzJlXDSMub5A8H/jpsl6X66LFdSOKvfktZmHyBsZ0nupuYvb/tJ6CklDZ1MZ7fqyrW/gdLNFgXcK
4Nc2u5i64azKTpyRJWpHy6v7U+4p87qWcHG5aBX9wJbOjE07dkafudPAofkZOxYimjK/w0GDwMA9
a2suPvEQwNpnAjYB1W6fCgy49zG0JVnJ6mhwIjwg7aZmXQBzzjEMSwuh3sb51F57lDohAzHvZs2s
e5VC30Scpz/kNLava5Lpn4zZ0K6JYC7w3LsOr5uoXX8exoKZdWQYTIDnqgUvNNSfM8p3yjsFxID7
28gvRhe5Rxh72q2OAzrgyeuEuWvulQM1i8TC8gS8z3nT8vLzrG09SgGhjtZY1+814LLwjJ1Jh+Q3
qIMe5UlguTnz/iKNwxUtCejaZDiNlfXeABzfGYMgQa/Ri223Eqcl6+Rb1MEaCaO6nz9TEZNkpXVU
gqlehUuu57sBWc0latlR2Pm7coeggZZiajhHvZ/lAWDkEvYG81VrghF4nSgN3UAjVYZ8trfxqLTh
YOkPUPoKsYutosMG7kAwyh7SSKA6FFlpFkdn7cf4nc0/3ieZ0YaEmzQQzka4ZXESccqvcQgdBjvR
2Ji61D66uZqeNWaQLo89Alvo+4okhF7DCSRpdzQt6pu0Z12kcpieoawVp9WGJQALL99jfF9pjur8
z8xJ9zaegacpnl1ucej9pnYGHUDhx0ZKzt0vQKzj67gtb+nf9i8b4PSq7NwbO6/AX1INPJbKoLk/
9TaCW84uWJfadgF9aDdKP5U5Tfez1orVAIwqMw+fk1TthJVBo3KC6SWjT9HgISNuEBv5iDJq9zVq
CzZ1tNpTs7B9L7qHV1t0K3PpLKtXKzAKeMJ+3ON1Z7Jl6Uq+uknJU3ejCNswB10Z72lSWyX2+o7/
H0kCwQO6VYKaHzuDsExLUYMmH7lR1dRTiNijybMpbZtiOetinR8WYxIXalFCPtuJshzVRPPNyvg/
A47ldjb+TuQOOYbzPCp723ZpqdPF+qNsyxn1BvVVmxwbO+aByRgZATOJrVPnzGzSsq8eG+hO5mmp
eYqGM32s/DyaxvigzNHrcS5P3rOu0yb3EX5RzqOcTQ8fKWyxuVJNpDFq3SIiDhWzDUfPytOh+Wvg
gHhSOt0M7Ik+xfu3GhkhxPyg1u1QgjCY3JUohZ/FRGy+2x4rb+kWSVOtPb1kMpMaCrLvGiB/ImPb
eCw/XA7LcYTl4LLC3iuc7d9/p2IbvTjVJBoS+KMjoz5vmVUPvzlHr9NZHtwBul0wn+e+fYO0uDy0
A4fuj3TftJ67h7Jq/+4d/dkXpEtT2tJE4snz5I/vSLPwdSsegMzxGGMCZCG0YqC38tzTqwAwSH4I
Z2ODPChTOPLUjBTKFSCT4iA6ni1B3zfbYYIK/a8vFZ2dH64Uc1FSiWi9GA4NmO3ff3elkIgVaTOk
2TGqgXWFZc2Y9GU1V9V/NpeVDCaz9Khj6wqxiO2D0P271K4/+a4wiAjuYASHuEONrTn73TuYElvU
qzHER2v2XMhrVR+nofJEZNwKOqQxx5SoOaQyTWJ449Fa0Qfto9u4GsTF1ZW4RULGeeQfXxZm+PB3
OPChhPzxBqqkipgQmfGx0jg0tDN1425OwV9TyxP3yJiTmlmVJJWE2hg33wTY/3M5fyzXPy5n4gFQ
zvIfDm/wgP54TarFyVU1rlyThaC4I07yBdVJD+cn4wtJFguTuZxcecmdSDuJ7eD2LY58NNvG+GTa
C3MSX8eWkhyHrffStLS3v35k/E7Vlsb715fL+C/BAYkgKA1skjdoIf5XjmMitBYpv6MdZGKxBxr1
SoqIq7ajTgUz4sLGT2a54Y7aY2WsNE/mMmEfWFK1Ps6ezfYUS9gggbVqW4SpyT+yO/HnDFMvhs7O
kVIazbZGAOnNhMUqQntqwBNlgEuQ7O8Y2OfxWzAwISc0b+x8QXbkciB4//iw/3ai/74TvS3OvxgF
fXSi/9svZkh7e+FvfWiPjjIPq+0htSVaGAJN9/d+MRxkaGuQdP9RIc+YCE85gxooXJu6hY3qd4U8
VjK2VAZFOtme23r5J31o0/mjpnxTc5sS85nhGMyETLHNsb7fkNB7Nb09O8b1qlsmppu0j5cBibCh
++XS32gDUUFNCUHRH10ra32a5Osr3TMbAW0qjj1ZLdcR7323tFq5j5e2Ri659jd1XB3hoqiz25JQ
bhaefVWrSnskCAmNdRWj0Uxdqj6ztB9HzhxPmQtUiEYy0lDRtLVf9lkb2H2/cIRbxd6gJVvBa44k
8A4cNbxvkOVWjEUtubFl2Z2ZyTMnbaP7aW0/zX0dbo8m3wSCdWx7hA8uVnJyouyzMBENqtwLk7h9
VzRqQ5U1fVCOXRZ0slpuoi4GvjXoIScuRj/Mktui13aUVmJPF2o9YK7lYR8bB62yqhdvGbNd32wK
hsLcFXP3qcsXc8dDbnjrjIFeqFPSirDA6MjS5veXAgXq0pqcCVzvuPQqfYDwX4elECtNVANZTL1E
NMub8RgP2adu8XQk0vm6w1jKQB2yhW/qjcQ2Y0n6u5rlTxhU/REkypnT2E0iqP2oSx88vZx2AwQz
r1THxtwku4UBtghVNnqMWAcHqVP4ZEj9kuXZGkYm6MP2IZp8CAclo7BYVBx0lmajUFQ/lz169HlG
EF6J9KphlB5IY97Vq7PXUqQeFpCwEEIazGVqFr+17KMHS39Avxu4uYHGe42050XSYOBIae16Gqy+
VAAuDROSM5Ks5WTwLLrAVcL2L9wxBGEC5GYWFtwujXPDrJth5UGut9z4MCsbwBK9pJ0nsi/N3JhX
LXBQmgoggS3Zhgr8DyTy+JBI5aAz5NhS4I3Ks/ZS9/azO6/XmTE5fjza5l6rONYKfU0OTlO+reQk
Zu1gHrI66uh8T9UOVah2bg3vV5OubYhxzQq5JzYNpm9P3BJuF9+DxUJNG6NF4PBDrkY80O4Qa2D2
hY5Fyzq1Ria+LOYqkIT2V7OW/7wu5rybE7fZZSlzV6uiabquAEm1gnsBcEAbOnFDXNVqKqAGyxzQ
vWzDXHSftX7AK+DMUWhjfIdTu7QHNLfmrpaeubeRfu0jmT11+F5uKp08cen+HHu9Tlqi0wZWY2sX
4rPgBiFiMkOnSNOHciS8gnRrnbZDshwgy3UXyAduKBwvf1gxUoR9v94gbyr2LsClHaIne79y8Amx
pjq7aoZwNhiaDsusg/+PJX3H0y4BB5cboCklWmQns0+CYyyROO54ZGJzGqzRuOJookKNpvwTgWRc
RRdOtkF7I7Bjb4JHXrY+xkTqQyvTnyDg6f6gCZuV2677IWmcwFMrk5I1rx5zWPl3Eaeps6AdYvkc
JhLmF1qe7OyGYA56HTZJOVWOjqXP97xVde3gueAvatcVqWYHmK23NH9+TtG6QmLgNDi2uNkVj/XQ
WbmeDZOMo5MUwHKl/nWOEoJeJ2I2NxyGn9nDI2jQE5WNfXbhEG38mAc7ytodE54aYC2MrpVk3NA0
YfgYrfeLGoqHlJEW04G7QpFzohMZesBB+Wtprsu+6EgYH5zrdOLv9051mOxl609U1d4hbjPAE9CE
S0QZkJCN6APNe2vrGDSySxcZlfvR2ZJhi5xROabAIYDwuOwMZGVhV7XcUrHd3SyGs1el8ea1khSN
FA3KCMfhMTKSOCgdb7fxgHWWGhF97a9jT4vOWQE+WV2GFrwQ4hy5Rb7PCmPc5QuDjmXImxBhsXtM
oAjXhfHFtvvrLDZJXrHmZ3cit57UnCEoFmkDQ0yri+eNL0XUTWHTOL+CApuQweMQmeLiYgh15ZhD
d9u4xjmtMaFYdV0w1yELXe/uiiSqwkgmbhC17deug/qeeqRGWKuqD6YJmCKCd7Bryc65ZhIF8HTu
XFw9kXcsMOn0MvniLa53WczlWBeVuFptdMyjsbT7wS3o8bj8xmpdLzSL0zsyPwDf8xCatWhGroQU
nHi/Yt8py/L10nrcpmGhPbTp1dL2p7jDyQlvSvNjGts+SnE9TMrWfi3y+fMUKXV0FtDdymC8FhfJ
XhnDdJirWdszNqK5Uo7ep6EY7/TYgR2CR503TsIHLtRgsJCzlWAlYZPvwK7v5zZF/Ilr5iQS7YVE
jsxvtfldplDIZaHUyR1XktrStAOREdlH9t/0DDkeQ5LGLgcTEDsNzEHfRed3SFdp7WPaTXsDRGQA
sE4cYid7mcbUwpfiXpahv+rzdsvziL9KrXHORVVEW6tp9c3GFnvSMN2dMEv97DaM02rY/aBu62gP
0K0OYXqD8Pi5oC4engh6j/C80HAjsvE4M9MzmwBsmFtPzwPHW5IzMlwxGcGe3H2lC9O/84hncRIm
HSwyHFpWL48tvKsRtViDIvNJKk4B+EyWpevhNlh9ze6d45D5sAuT3Ws9SBNtHzbib6bi7pvFOPtm
OK5+8x+jPNvsyP+W1/9f7lOO4Jzz/nd5/SlJ/6ix+vaC38pqV//J4hStUx07IMdwI/6nrEbe4Qos
irhIJQnQH/Kr/6dJR3BhcNIUjs1/oeH4vaxGk77xlDjRkRvNy+E6/AN5h/hR3eF4ZLnjZMSSgUIa
kckfq+po0uIxqSzrNJKNEoVGtuYPCVaXMzinMZCLhQQS/feeCmrdC6Jazy6iw1cezPOTVaG7MO2s
f9Fl1b/EM7ql767kn3SMfmyD8O4MThcWb5DTiv1je8ZD7kqgpmeestGs36zEBIWkJ9WWU0W3pk2L
5eA1OtVEU6NZ/+vfTZODz/79cR8IBmJ99HE25xr7Q37z/YkjSthGbJW2QCajz2UbMd6bVOrd5B6q
yNBuLOcaz2ZF4txiO1ez6RE4h/ziy7xW67ujCKAIm3WR57ggzyW3VUGyT6fyXdfW9r1DFbUEpEdZ
p2gqh2vRyGZPrUxwCqEffjaX7NPm2JefEmPRodgItgndpfmK6t1xQqVWGDKuSrTWl4NNTZ3Zxive
JHxRTLR92nj1ldMDzkChpB7QulYMKsyKmfUg3XwftxDmIVomzM5SU3/RcDQRzuNc1LxuoIy15Rns
2E1FtgRdFi3ZGrpdLcfjQnsxyKEZ+VAqFCo3ZxpJ2YsoPpqkIp/EmJfPVbblXGq4Yq+tKaPo65bh
xYVijydRR2frY8iaR7iaLu1umS97QlZsOMhIxzXTmHofD3f7sE1R7vU+TUWYYe0n9EC3aXo5ekfc
2OztJgWeaT/KGURnylJ6IEo4RtTctnaB+i4ZLkLVya4anEmdPNcrYJgbIB/mVFHmCTn1EDdtoe+Z
CkeuX4FgoJywbMarBFavW7hEp1OYxKkxkapB159JN1EjDbT+I3WgofmFSWd8sqzPTra44BLt6i6v
uhnaZQvXV1k0Ys0tHdGP9VnsMXF2+25ANb0wEz+shhu/t4kx7gk+hVY2jiEr1SO+xSkfVmMZMVrU
KjuvmZuFrjU4b4kzNEdy39adVzTDcUlh7+4H+nQw2jP4PgGP/JlCntPrAS+CuIo0dz57roieoSjT
pJ8SHkLEoya/mpM+fhI1Tkk/rZzyVxpJW5jFSu4vPlli+jBItuQojaslfdshvCpk7T0msZbJW5j+
yoL4EJX29EgmVDo3futU9RhEKI7iIJsjTLwuWK73KqPRDOWryw6GXk/vqA3KLZELmC9oFXSM+g00
kC59w3lakPRU0WL61PdddF7VKk+FLrPxsz2nMa0qy6jfCPkbFAFaau5YFa02/FJFKivCzhtabIfI
7NPdQDSDtqtx2d6Mi6gWdJLOIHZqpG/4CHZkWY5o7xFnalG1jdyrrozDTiVx8wV9DXpPDJpYLNDk
VIxJp1w/YhtJeBQM1XWXTGkTttTGb31NU3jrBHOrz3p9QtaSPwiHTTMGciYg16fVJ6Avzq2hiPeG
3eXx27rtsy0Jzhu40GJixNlHW6/f7F+G1M7gZqUj756Dz/p/7J1Jd5xY2q3/yl13jhcHODSDOwmI
VlKolyVPWLJs0ffNAX79fZDL9aVdWZlfzSsnWctZcoQi4PA2ez/70FS4UgjardnUyepFgbVDMCRH
Nnmx4kbedux5tQ1pwsNXPaWSJAKplfrZC5HT+LVRV69oJmj/WNujG1+PcqYAfE4WK81tn36YUbR+
PE+JsTzlnakllZ8pk9jN/RSSwQDZGULP/CqHgV3aySVjhX9lkbcOMfJZUCGTPbGo8bmMCFDqsAPJ
8hXCeMGl0xL/XrWLfW46wTtmBVRpOzUw2F6xW6QMgnC7RmI10pZWidFtQPRObCEjhqVVxY2VUKZf
tzIn5xH5XiUDMilHUuOdHgbtSKrQZaFhV+RIBOG8MYC/HZGFuCPBjkDLmMbKcAjKrnW+sG4jRYUP
B9x3HpEhhLncnvUNq1O3ZRrjqJdKaNU5tmfshThOqk3o6tYxYv+5zVRXfe1E/4hZyT6OLJPlavpQ
t4Odm3mgAVeFUoSyAmOsmxTs2ismP5ZMw53AvnEVm2PI+lQDehhTzz8YqBhsSsFBvsHftFnCkEuw
q1S2TY0KFFcu5HRp5Wl1AT0xJoxgackQaujspsatJVbvVlyYWt4fPTawMNS6EH8Azxni0E1vDiyP
6KKNaArH8G3Z4bpF9wiWd+6dct6XygSoLUY7bQPO8cgn7M+CdsuB3xVm9/m/heP/snD0qCj+onDM
8leklL9qgy3yff9nJmt9QsnLeWEgqF8djVRn/5zJrtp923YQDX8o7flPP7XBq0B/XWhRuBjUe/+j
CwZlQoIBU1/0xlSd/0nhiFzp1+oIhwCjXYPykXeARnXli/2xOmoZvpSTLZqT1WsA64hn69khg2bo
3VtJHVAdpRdpwGWR0yOcb8n6fkRZRNYuJS+7tYkDAEFLUXhJuNcGcIoPw9zkFzjak/Smt8v2Cx4Z
50UudnmKaVgvepUagaex90JlmBQn/PAYdDNvZMCVlpdp3WiIgeO64swfaqLDZ/o/hUkuWmKD7Ejk
Zd7LmMyEzrk64S+sQWb7eVQTOqCZeGcEFUnMlA3P09ZElQ98O6pdnksr5BfSF7zfqq2yaFev2QqX
bP7jPtppeaGTLK4z3p0Qy7CbVuc8Zpzu7HBKL/UZxw2/bjxxCmHZmYkDP0ATgB65JSpLh+FR4oBw
6RONkICgIBuQKZ1dA7ivYgjK59lskrkY2KGH0tOZAY+jg5ubfHv9Tam8UwsUr0RSU7G0l8gJSjpW
4gQH4sdINRgQgWyAI5MvM/VMGfJN7C6NBQQjra3Fz+wxQoiAO8qIgS/Cn6iW9BtqlbmTsDiLaJYY
FwFtbBzDGqO9kU1he8Y7qR118ulu9NQNNwsRdES9WBgWurg8xpo27iNZGwy3KKA3ZkfW7AiQ8Vbk
BIzaXj2/OnUK+gKtrj9nc4xpEHEUENbsssUau686qyB6Dd1HVo6QvZqysjcQ8deJwAQEmdC4oiir
AJVydC0Nj0jJOJ8C24qywOqpV1I7qg7kh4a3baGKz2Gp9YQNhCQpLdpYX+ep/UiIUXRrota5Ia7I
uWWSPL7EePcCEjaIm6vj6ZbroUJSVyU8GafwJjeq+XMW15rhq4HM1BAhVEBwkHP2vCx8iolIOEyx
rV1rbCYZfbWatxud1rwM7TDfayiVF2aTzNyfkPtJOHG5/djYorxH9klIKVv7CF1SCrTMR9/mTH7F
rvdYMhMlM6EnlxG8fn9UFOh7lWfRk4l79sJbHIQLopbqgW0uWwi3JiGa2XabvwtlUQgDE0Pmheyu
3GasAEGRG/KGfs45tko+pLAmOqBm5sYyJ+dSoF2OeE4ueYk5cBivEYkbFxCsq4NlUQD36cx3PeRd
e0vFXj615PjsR9Kpvioj/iwaMhL63HVPfNPFFhun5c9dTWII8vfb0O7iEwlg7UOED/N5QO5I0Jya
jLe0avULbSl5lDeN6ZxUPnk7K62/A6gJD0LihosndqcZYUf3XuYOz7qd5p9nCqzPpuoTuHONm31u
MAURz8UdZmt9u0eDYGw9R/W7pLYvVAW0DnNyvkcZBAveK+VJTeR4oYZAMg09wdNA4QNmWyQuH9oA
Pbkpw3SCt1FTa8LvNrmKkUzE5LPkm6TXuoAg1nlbqQEqfYiVk8+l3zjgFYiB1dmkdAort1cGNNLG
k+Vo5nWvtY/J0t6nteZ8m2QFlR9aDCBYdJgO0pd6YafQptZFgcz4Uu+psuiww8BJoqNndc7VrNqG
W2Po7pfczQMkwtWbPYAWrdVS3TAjXL42KBSajdCgu3qFqi8i5piPUUyard1g4mMH0xBStXjRFXvA
4aUnSqqsUDtibSCnL2O5Q/3enoakjl4ZNibfc0Wp3I3NpTGQzC1tNQXxOJjPBpX9wdQchEqTUvOl
MdVuYJF8RbXCYJ07zor1s0C8vGuprpAk6W51m6XdmvfaC6Qrq5pz7BIE52jskfnGsPOngwEO9q5S
6745i5R5P/ah+zVTBTKXIVnVtu4qT4UyM99ZWohQDRHY64AN48KzcbRS56xmkWGV20eiJNWJdg+W
h7LQJa6a3hkJw9lBCTdvooEoCWGi3UIQBwumoMLd1DMGEg3O+xl8PEZhJSu/16c3kkjLO8E4+xhp
Yefzl6JPSiFEIKjz9qjJpkutX93Pbg08tWrle6VZ35K6MS4FUJLenxua9txjtovghJtcy64U+5Qr
D9ThZayTDUBT/RbrALoanRLOmqbHSm/vQfaxlxJt7LMwomdlCbJLGC3t9WTxbhvRVlvNNmKT5Y3q
DpFGUGs2RuScJSFD81bgGpPsh9BS7bjf31J2NneN0Sk/plB8iBw8sSJu65NK2YG0bSjzK1kB/JFd
OV5VpR4dyAAi89ou7H5vIVK95cotglL31E2CxOhbM7ESAUUg8msiiNynyA6tE+8QUo+qMd9ItoqM
9GVxU4QaoanGXB0FRGVfZ5IUzJ2eXGot2ed2WVb7fpiGwBqm/sVogUflLszA0cm+9J34mjZE5S48
Hi8J6I7AAHcqvrFc2FdlV5FiVMSGP5tT9y5AWm8HMQ/3qW7L7YdsuoqYfFgIlAOQ4eE9k9fuzPCn
3yuPFdzcJe01VB5TbNPFW/PlDdahhJlpR4WqNSHoVpaksOtW/oX0mmEXYf39VrjEJMyLzvfqul9i
N//eZkl3hGG4qoMzaDiS/xVKx9vMkjUjRDT9qCOmCLA0GTsMA+JyqbX0zUtd8jHAKe5x92v4scP8
Nu1zE4lomuzqPm2OAwXJdgDsdTCtas0RovLS2OTsgZiOF0lREYaXT6wOe6Fp8DUxk091NW5Npyvf
eqkSst5RPw8QU4Y5tg9qNAmxlleLpepDaRUZKl7P2FVCvjV6fTsMLqUDaz26RSiXra5tZlN7FmDb
N3HM/D4h0Gpj57q9zfTq7NTtraMTM9w1BDYUA8uFTK0zgzsXMssJaV+0K1v2qLi4jY2dlJgkIE53
Sx7tQiu/MgtNg3I5qX1uD94BWCM6T7O4xeN9gy4y3sEZILGCwFffzmdgF4MIAMbn+w4Ad9AvMLqt
qGLfEA+QZuCqcgg75rXWI0zmbHceestIDkTXocmW4nsT2lAEZkhpCZLVDW4iyYMsI00UndGtQiHx
lhQzckuNy4881oM9jeWtrRHd6fVk4I1yYCLn1cNxKloP1lzEyiRZ3FPRz7d5Ir8QMPX4317qf9VL
0cn8ZS91870suzkfX8vk137qxw/+9Fpan8AeMnSn+F4ZLO4fhvHrnJ6jH97Lx7x9HTX/HMYbn/gj
G0PPzzbsf3oq7xN6Rrop4QoT39R/FjNnfFADf5k4Oyu5xhG6YbEYgAf5a0+V030vRa2zWXfKbA4G
UTH5lLkyz0Y4Vd7q9BEmLRPkp53q7cbbGF3bHjnRmGEuDWZoP851koObrs9lEKM+0DZwHQaGY281
T9FrZYM3oDHSAyvh2btZCghzgM27Ds3ubAWLnSN+0MyOCSgbU/T/POOpohAeL/v1iUjBN7fAW4Et
sKPQuTuW5TE0NLwTFq7KbftBaKDvbchDWrkN+gfDQXzgHD7IDtkH5aH6ID5w3GQBipAwGOLykBBc
/h1KTPSmFmAREz/zLOcqHej6gEnEH1wJ8cGYQGMKD35Y0RPVCqFAo5hfjCuYIqni/mpUwCrEiq0I
dY6WTbXCLBg/s/J1onTkuQbsYlqxFxouQEAshUetVIewD1ZAhtvyMcMdQ5EOb0E/kS43bMsVqmGs
eA3D45O3VuSGWrzipl8xHP0K5NBXNEe6QjriD14HdV15on+u/XTFeWQqdnYGK4/eX4PSSCGL9O3s
2BSOLYDClHQ4/TPD/f5ygBXSyai/FxC53D1rEFgiBga8Gnk9iJGyHcynKc+MHeAwd4+dCYD1uITh
FbJLkISmTgNYwVyQcuzu4NG76da2Q3kyNaW/d5pdbq1C3DnjTeHlZdApgqisSL+xBkBciDMMc1V5
Di9rN/CIsWq6HrtU+l4BU7Fze18Su8D8qi/2ZjnlJzSq4SXb2/KWCAXrCqrX54TWI0CXnQVQMuZd
2UTh/TzIZmtrsjgoggz0SvR+RkjEXTg0+vWgdU4QYjU8MuiDd8Rsk5B2KpRBr4JwqZgnemMVHlIv
lBCgi+wdHfWbCD1tV1m4MGHz5OKOi5wp1jQ1BIiIYoMRzdwKaKBBhsQV6Ym8rbjafBQiF5D64k3h
Nnagxd3zggl5s0yEW8fs3TZydnmXXSz9aADjKAaRgNmMtWdUqdGxzuPmTuZ1fTWj/j45OLOIS4gJ
dxTT6OdWix92bLhuuGzVZrJnY18z8AVZHcP61i3aczZLzPGY893NqpcbQsGsKtrbVjFH4tEN8ynZ
sTxR6zpCLJY9BKmKo9i9UzYR4LU/awQw3xtGJtW9RAIDSFXiqRFPwuJa2OoyTS7sVnducVyF8efJ
WgoSrUWam7vSq1ie5fgkef0xOQNgNVjy1YA/cjLJR79FmgALU1SafAYSWKZHtaIVNjmTAX4bDHtW
uW+xUoz3Y5JYCoDUxzIg+tgMZKY+pi9Z1rdLGRBpV4LtjmVHVVaTqhuMHeuhgMssil4KkURr/LlI
+H60quDyRE8GwRlIC/YbkUyruEPNDikj6FrcbVOYfRYd5t61XoaqVP2bk3kis1/4jLxh3ORDX52Y
0Zv0u2WY9dC/SW3KjoRHSkZRwLT78KHMCM7z9Yb9qm/0LS087sTpx+byv2rUv1OjOoBE/mrqeRdX
377/n2OXv5bfGHR+PP2P3/7f/yVHcP3Bn09q8Umsc00eAh7cgQ8o80+Sm/hE/omFeMfhofzHICPj
Ez8BdGQ1W7BN/8Ps0+Kvw0r3sX/nj/+DhTkel1/nnpbLP6ZuoUpDk4q89TcdakNAcFt4hD5qFNWb
dI4rBhJU8djgPBxEhnxWxTheEU+ECWqon/NIrqMyVkDVkHMqL3EW1Iy3qF+LEvmU/iRDPaLnzJuU
k0y5wcIw9NhihfKtWXN2CKsV3nbnXIPZ2RiTuEkn1b56ZnFlK6pmTeHIZXff46FgQ83alSxAF3xV
8j7oQ3JGDsVa0KnRrJZVs9E1l7B40pVZxC4Xlaff2KJDTdaqV7CS0wac2hZh0YqlT967POX5bEbz
FrPZ2TGnvULXjTW9fPey8gr+2l04SSLHkmGHhfdqmJcbK50vEP8wU0w1bKDJK1VEBSx+eZN0Afko
3kAoPjdzt6Ndyf22iM3PUL8OSetiZdAxtFTdmvqkuWfRm8/ZmL862Ht2eqTu9Da7Wj+Bnqcgg4b8
Pa1XAzba052ZEzRvFihHh1V5NKrxITLV3Tqk9l1Uhcc2996oALy9iK0D1teLDJToccmxcWiq44PR
dVY2yclYDa9TNj3YjBdUbT3HZnZit/XaNilgJnl2YpMZg211W4tfSFnJe9XPNxaE+91s9rvGq9n1
WCs8jUX+xJJqUxpMjYyKD8qI23CDFKjfUAbE2yTzen/QxgoPBedxpK2fZVy80rcqmDNY/npORH99
rdri/6A1y43q9JveUPshXi6EiwJTG/WL2iE6lJ3quwl4ZitFcpVl0wVVozy4FSrcNOE3rKz5iQwq
esTezpGcmVqQdbzQmLBejiGFXbYyPTF0fGqtJuTUnh4KXQbTXCq/jFvorlXyWuJJ2ubGRJTQcjEa
UcIB3ibnrHGek0n/SuTCtQcJGBIOGmSChBeJabqZxoelkQfYFMh1W/MQIZAip8pFd9oDUUXNcIHv
Pt4qwn+IURLmCZyGRzB9z/DXKExs+vpTGYk3j3EfBAkiTfsoPzFVeWja4cGa8vdCTznWbSJOh2J6
MEMRwxHua2YNVM6LrbHyEgmzmfVzF6XNzNZ6rpoy3eHgArZnOfSX/By/J8N6lHrKtJ8Tp53p+7gc
eUSca0ZaXwi58nyw0XPACGG8NeFTBPkUhcx2GLDNLPEPjTOPp6aS47Ej3+o4jRp41XjOtyi5CkIo
63mnx/l4KuKm8w0tN9960X2Zx9a+FC5uKK6aKkF13TJrTgMPNl7gZIt6DZ0K7CyTeqQSqdWUT1kZ
PhUTM/ZgsTov2YDE8Kc4PJP5+YUZ5+hnU45el8fdYiZB3c/tlhlVLILWthk1JUAETm7VA0d0mnOu
xTdlRf6H0qynSmP6gz2YwckgX6dybt/K0iDoU0vjbW4jr3dgKtaLZ+8K2ueAeU54g2gYHm7J5b+k
xlslqhpzTIHWfdR9ezLEznRopXkXVELEu20aVhjBhCrp2tKdYT8ZXHRz5jw7mk0SaKOO4di+a6q9
sOzs9IeHzp8oi/6V3+4Z9IC0bB+7sN+deUlqW0OqMobaI8keeBZ7OAPTOZHN1RIK+2+0RGzdflUS
QePxeKCZQKws4f5Oi6cIHEp7BksVcasHUIpPRk5qi82I6m9e6XfFlLsmEuDS4MV0A53YbxYl5TiT
mUKvOxh99ooIgHwrjuNUKPTvrNcZuuG33P31Z/mrMwPQ/vqaEE1tJGRQwZzfXI6RWXqxS8gIdZmM
US2OD9XEja2Z1kFpMvfX3xcyy0Xbcbr99Uv/i8Py47U9G+cJjbjAMscn/webGtYjtSC8KQ9d0ZpB
yvj2ZkaJtB4XFwTyZAfdm95UN6GwUeN4SseO+9ZDPU0g2FtMzkJULhdDhK0PrcDBgxTkk9i2NVx1
ocDn4cWgeWOhsGmq9Kq0W8AP491URE+6jDEzTdZ5cHPNJ27b25P+Xr9EzPh8y+V4+Ovf9E8uIaJ/
ceAI9EjSMH77Yo088YrKsPCqGN3OqvQb3VtuwKY2f/OJrtLC369VXohQA0i1FpfSb5+op4Q78R+5
Vj0wTLRSNzMDv63OcIJi2ksD/KFXfSSK23ycb5xeL27RAScoxqL3ZuRcXksVCIcZvJnpItKQWHlq
eNA8+2y2454k9n4j66QAWRvbePiM6TmSxrwvIqPGzDcnF4PedndlNj1NLY/9wUisExacAsVwDxCm
TN7DBFdFmeV8i5Nb7SctfQ+r5cmNht3S02lMZD7hxjuAoEj8qFg+cE0X6Mlz3xiWG2dG4oRuQuyA
e39pJQ4IR1Bj/fUX9icnDDv4NYRChzoMp+vXK3NhbNhY8GEOiwLDQTkxcbKxEwWYq8zDX78WhfK/
fGdS5zlFsJDjyd/Nmq0xJ9jl5xJj/3gHMv9UwG79m5f4k5MFeIlhoSsApWv8PpuC+J/1ua6D1vPG
GibuBCg1XN7Wkx7h9bzvETVlhnXwNOOsQi/egqc8sQj93KXpV5d1OvKcsUWpnZoHguR4yHqcTvVc
XDHweV9sZW6dMMkOuWkvZBWaQDXgP13mib3FdvXoMmBh2O9GR2vGzJPDfNkIYZLI4DX1zmhJ8SK/
2NgPEzMr3UjeJVs9JKLZ1ThlxGRE84qRpUAVtLCS+IySXtwf9f6uKo14i1nsB5ry37pFrT+5Y/ku
MF0SX6NbljR+vQBKo4ZpPxflQeQ0CmNcJH5C6ObGAHdwJVBvkc4gU3xL7plwLAC1XatvGFpc9ynX
cpjBx7DLYafCRW163LiMyPRnldZm4Or01Nlon0N4M/4QynPMZJBVICdRjcc8QIv4pBvqben0TeIk
9xjLqaoafuFWm/ZZrD/NFGKbOozrvZkTGF2ru0jaq7yR69OqOfg6eyREQ7PSoAhzb2/I5cmr2/GH
qvzffkh/cpPwzFj/YX5K9/bbZ6SiBsOeGsuDgk9AiYMrXvF2LCiyYR39zTdC+su/3icuT2GONRhu
7r/ck41lzoyBhvLQwg7eChvvnRump5AnlSf4fgAwsv2daZCI3+w3pJw9M6GAhkABOFShjVCQ3BME
Xs3WY95Hsg3r3nJ2v3aZuGQxcJ17OJRij2p/KiszMOvurUiXuyln6OqsD2Mus8jMXkO1VqmwhtNF
v2oGch+myvApV7fQYd1dz1f60V4u1mQGaDsM3yMzmqU2P1GrcVeHQ7/Jlz4+TvC4PpqgsJywKMDy
PpWDekh6GkmXyS85A7R6clEPbR/B0lgz7swRBZq4Ae10Mk2qNeEMAeb/GXECrqaCPwnH9YKsB6JP
rbbbrrdRN8lz5agHO1obCJlp3E+15ucN1RKA4KuJ5WjACqjbtsyNmlRyi/Vhc+nJ6a3t+0DBm8BD
nFwlBOn53kQpbuXWcxqPkL8sRNSVPIAEPJG5cVqKpgHYyw3c9/mJpnhfhDxZkmjkwuTusFV/hUbu
S0xW6CkTkhXyGJhGO/trY4Q+gjB1siIuCCg+g/p9Ntrk757H9p/c3tQ6QOV1idjK1H97TuIDShv4
PcWhc+Y3LG13SEzP1Bd8eJLbeq2/PlrtqgcO3XtUeh/3fBn3u1l1akME8lvJQIvY8zLderg83bE1
nSDvI0BUhltuvWmYD7noNBq0DEdZhLCVkIboDQagdwWzJQ6WiOciyyiM5uwZ/MVhU6BxxqT9/DSa
lFt6axKTpieDP0VE5OYulXVEY0hWa2xiUENWrQjBGR56EHMbTKB3LfZW7Gn51TgMd5YEo1bl9rRF
OGkGjVouiljBCIQVXAhtwdc0v9ndUu9a6CQO3QE2V/s88hChyRweTMKL12q+d34+X/87YfubCRvc
AUEt8e91hfcf+aB/Rh79x4/+nLG5nyR/FXM3Wxc/pII/waPmJxMz+B9FhD+1hfITNm8M2CBBbQtN
HFf9T30h4zeedZJbAp2hYZKj8B/M2UhY+O2sxgCjS92ipOd9iB9zuD9U9gOI/bJNk4oMMQeRtEe4
FFOIMvH2MbzcnV1ykCMKTt1bLzEhTRhJmZyZjlfBSCa3G2DpBg0XJuZnVEfzDWj38n7s7PCLZwnY
kovJytuBW3ao25W8sOaVXiRre0Z+QjX5aiJgNEDaSGZKjBLSvKTOhxbPVJzbyJImmcBN3mwbL0F1
284zVR6D5Xhi5p2W712BegYu52ztMq2zrmOEzTdZHFq+VjEP2OqNZp7acEZmj46zTAPNjI34OE4d
5rtqtq8McpRqjjM4jUNhmmyaXPPIqamX2ylvxhe94E0FTRH233kVgTfDKnGMhEPJMM+tG+jiDlvy
H1hJxPh2i9SvrzLikRVzGJ3CdWsuevGe8IUfZAjuju0IHEOxJOG3xZacwBm0q8/1AvTID3lnny0E
TZ9LpWd3XqZj/5yS+FoNYflQYza57ol/mC+mZook4g2mLBvCHN11uZaLkKjxhgXDEtfu7ZTxvhoe
HpxTIiREVDcTnIlWOjm3S7LUX0TkujdhTiWz4SzXRRACBygDmHTVznELcinQrhF+Wl9novFuJMGA
6DYtTx46Pr/diNT+kv0GKoQ4XqlNSBqmeCxgUsiyugeZ5t5q9BF0KTFPotmVxNHxTOIZA6UQJ9ER
MpZ50nKQjxh0quusbSBkLOxmtraTihMiG+UDMRosns2G7A6LVvT8zsLcmWXSfFU8v15aJNef2eVa
pu8x+rJXlXX3TWiFu4UcTFQBiw3vdqpZdMw8le95RkW3E6DciIMf5aAvCV1igNdByyAaCi4XFpxX
F/6an3XCu6xr04l2w6wTXDWlZXIInaZfjqRA0Ewl4aBdGjCmlK/wksAhBAAF8osFaX+MJVujTaTq
4Q6ziUR4ZE5A6VxNmBvBZOixZBN8Ff/AL5kfLCb3B5jJ/qA0RURCYdvX/gFw+qA5zR9kp2aFPGkf
vCeymWA/ZR8cKKgqKxQKtoS7i9oPWFTIJKs/9R8UqfyDKGXUHSwpBMwSBesKnXLCSLtH7caILAuv
nKJA4TICqYqhVYUrtiqnovDe0h84K+MH3CoqdKcMnBV6JU08NckCF0tfkVjhCsfSV0xWb+r5sVki
9ZQg1go0L66usEw1245nWLqitiAEUAdjqBEutp9YPbE7jbCfroiucoV1VS0WS9bPZlFjygLnlaxg
L3tFfFGjddC+St7DYdYTKGDjYAzB3E/Thebq6bEamKnOXnlXLe5lj7YPd5vo0IxV00kl6bB1SPJm
tBxjn60YuGuWRuAqJw1mY78Jl/3k4mueE0NsmKw7Z8Sj97BqCZyL1Or5kU+iXZNChmGglh2qa+Xq
d8I0DVYCtMJ4sgjAsIAAjDnKOBc01Q66j89+t7zQy7r7ns7OWV+M8IUAJIW1tcnvS5viNh2rDrUu
CexW3o03YgjNXbOip1SC/d6yl3PSuPM+t9hvx3GX72aBqpUsjM4XzAN8wuiqGv7b8lKFSB3hEF4v
dXvVq4zEYgRMPlln7b4Jy3aX2pp+hQ5NXdsdmt0E+wWWhmZfJsLdJuEc7oCesC8PZedXgqTHpaKY
ycdRO6Wgmi/mHODh4ERfVldJEAk6n8yB8md4Q0VhUrWfyYtTB72I+kfmPT0XhtL2UTu9D62d72dQ
gtu+BRA2CiP8YmZSKzb45q0j9pwiBYRn6MfBplsAlGHJixKa8s7zkC5varTS+3rIrJMbMm+YNM25
HerYw53MoyktugR5l4U4arQX5zx3DVnEUIGSdOs2yRry24RPXiO5ZWURgp0YYrIF3eZrWWUVvQlp
xM81kDx8JTTTYWK4uwLY6b5axvqlVqH+GeGatu1H0NuVKpczyu8KX7dqD4VZuLcm/+Gqsyftmlb6
yQEApPvCg04Zddh0WIaKaYPwLhMnOaXRpZcVrseMTDbgOJPB8TODqnHT2CiZLYWWUZL/5o+GMM8m
ckzkJPHUbrQaSpmD+wo8hZOdEPbhzqoR6zXo/J/6Wu8QZHfEQycD6lTdbFfcQHXLsF8/m2lWBm7P
Jz3kXAYW4TaT0fnTurQxADFsxs7Sji064O8mW7TvQ9Eyh4OkCj62D+EntJYN/JgxCbnZcyMDWybi
sSLu/i5GOPxtAu2/rb3GvWxC44vmDe9JUkbPqILIT5tL3e8s+VhaUgPZ2JHYYWYjol9AdcvchI9R
a+0ZsH4J7eHNNRq5XyqCxJcQk4GZzM8zGeVBn0MqcJz2tSkIqRtN/UimD65PYdTfo9AZ4TNrVQAz
Jz2MBis53wCrwYIiFDc5mL1t1qnsthT2uYxwmzHiG7ZFb6AvNCK0g76KW1VvO1Es5xWAA/Om+zak
8QNrCEop6gumMSSamCPgQTDDAdtF1KTeeriSk7MWM43r93R1m4mn3DYuw+TVyLIHzbDZn5Eb9yU2
HCBOiet8b0V7N4zinexIkCEJ7EXNeSnBvCJqBHQ8Zbpz8uZwuaz1AYOASQRjRC/ALv6kyizk7Kzr
LfEGWeBGo3lIp7k4mmN9JK9lBU+Ix0TN2WXONY/MEP+9aDtGDWmPk1RP9+2Y16eqn+6tJe52YolL
Nptrfma6fOupP/3eHKp7xvajnyAiBBlTmDPzlHJEokziy1x2xW4ayHtsNfctjIxnYKnhi95I8xqP
NeA/V6Kd7bmu5FthFOIIBZtFW5zUF3XJTm5ojO9OoYgOEt+YejYx3ou89kXZqYNbk3HTWbW1TRpC
a0bXjvdULM6d0OYowOWV7nSqx2ujdMKbNqxOLV96lbeQhfVzPHeWD2KPS5QNXjDHE2wLkYqzWaeP
U1bbbFXjYY/tXxJdbZTV3RAPpFvRCjojSFLMDXB1JjTKTWcHZAE99ZCU12KzEeU17rjIt5RHl1e9
yyQCMlDg+tD061B110uO+CPuSZwBaZHWxRf2olAOuulBdcNNLXok6uUV1Rr0Enth0taHkz/PQ0YN
CGGHaFek8W4eY1U1E8mqyrHkJXZf99IumhKcX7sxZiyQRPMUy43Rltl/M19+yCD+rvGjfWMI8e8b
v4fv02v3R02F+eMn/tHveeYnqa+pEMKzfwa3/NNNZn+yyZFwqFVItEQZ+U/1I0kTFhIMwwG5x/KK
ndI/Oz5DfoLFx/6HhIp/cMH+g45PADD4teVjJictxB4YicTaexrroukPLR/3izaSRqsfVWO0n0fN
cjZdPr+5k5GfF1h221gTHFsMt+8c5V4BX8QYPKbNfV3B69Lb7jTM7H7WJG10cIN2nEPTDvdjlcY3
Q9lor4ND4KxnV3pzsNyQDTTcgai7KR05m7eWlWRGgQ0kF85xEa1rnFmJ69VjBxqYXFItWypzD28K
2RceG8jPvk5swARTxRv7wtqEIclz8FcjnUO+hmXePOYu7GqGmuDOxQmSjm2wzQ69fuvEutXt4twy
aiJUoyTnPCwzNKibCd4syHbGhuLkVDO2kTnqGh797FPRh1vhhB7QcGZ5RKonSXnNGP6nD+GsaSig
hJONTRBDr3xNy9D9FtlpRFyHQWNEoBRJNCNqCNCxOqFPbVrTVED122dMHy9c3VxWvJJHVnAqeKKp
ntt4N+JZH7dLxZYtcKv0UERsuaYy6UnyLs2ezNbJhRTkypd5lNYGNGt8SLrkPsLMzZc1pFcNB9gh
NdRTWmHtSrHxbUThAUT7/+ydyZqkSJpl36X35CfMsOiNKjqrzZObbfjMB2MGQZgEnr4PnpXVGZFV
UV29rl1kRLrrBMI/3HvulOCOb6skfct0Rus5j9nJD/RN46hLisPqrUuqGvZRd29XGsNePYZ0x4n3
o9fxtFHD9A60mPYAZ3Wh7VOii1c9wmabAf+cg8D5nsDe2dlxMTwtwUB2EH3agf4I0HrdbDh/p0Pn
I8kMrPqA0/FxXLJX9K9fRLr0l6VrGIAXye2Stv62Gvr3purO1djUx6LHAA6+NdJLZW06hG0XKQUR
cKgz0oSUucIqXtcAkWjg1N8V1fgLtbtHZNwS308hVjZMD8YmHNY5O+iygtP14IwOxTJZqhYq2Wgc
8bkluFg4yHEAx0OpboJ+snY+K+YTRsWMFOjF3QxGkm6Xrg2+44sZD9XoZt+DtMWzxEhiJ1vXeEzk
7OAJTH7hzG/uXKN/4tmtn+pqLg9CIqusM5kd62JNR8mEt8EdD8iydon7I5vpxLmQ7pWywn1SuTy1
UiM8jN70q3HBN9PIIs7k7Ngwas7II9bZ9wZvwnZ062oH4jJhsFJ1hIDZZPjW5FyDkoSIJsZyh8CU
zA5LP5tuLTaqLF6NMj6BEyPbpWMG7fbGmzsjybULnZ/TFnWTgQjmy8bo80EALc9ORvTF5BQbrEng
1eiFiytQsOHieT13PGSgNrIhoKHP8Vj5jiTquCC9AoHXPx95ts2IJwihFcMjE5TJfyqdQt5DOqxq
tAmIWiTqgT0Fb7CLfdAVROgO+XPnVT1uIHNJDlneWIzbE1XhOel5NS4sXGpM938MZWtvRTyO98gM
zO04clkk4VgCRdB6/tlKDtVd4jvzeegzKN39NE9YiLi0yNyePaG3Le92hXlM/ZdJ0EdGxx4z99LD
kH7NeUcMSTCFLc2YaOV0y7qje+9crhZrkzpkxJljJS5pHVZItgKJ0cewDsJCf9EWTHzn3DsQTsEp
oVkuNIKewaU32JDmSwSKbO0dRrLyQL1E/EOwfNNAbl79TOrbMjeIiC7erCUTm7osGlh/dPJG69zm
wioiMu9yggGzn3EXqCizZPZaqRwvE8CU7IYZ/YjeHLBDxKqLHUQVv+BJK/BUhDZDDadszmaIjdi3
x+vIDO0RJZ7xVDid/2lVbhYlBZH1SxUSfDokKbcx9kFrFxP2sKfpEzdePDeABHu6vr7vb8subZCw
ZMBPDDEf1HrXss73wLeD/I9bsiiMtoSjV45guRiwZ3N3nEyRkv+7mjzaYAHCHXv1A6b593pgSeGM
VfhDWd2Drx3MIl0BE8UO+m/ebysJgQ87yx5PTmkGeHnpuze9KXsW1I6zy43euKCCTvfBal6pxQKz
stGQEpJg9cCYnAfBfJvhK7pbDDHezFlI/Ok8kFVW42LRXc6t5VvDDisLqMDQ0RsxWcE2zPNhI011
mI2EHavd34QDpxZ72RmhGa2QgNJ+6gvHhf9HgmliTo9DAP2tCBgJNqvzh88WotPSB2NuyXkQY0xn
rQVTxLD6Ma8uIgF4YzusziIJRYtedrUbIQjpnnFsg1sM2CC1ADSjrm9PKPZxWBvyS7f+S5X5zW5B
BrAXnQRuN4cLmBekRmmtIYih1zobRftzTRGk3Bywm5bwW6a167T8+o6ltMBbyA9biznfT6uDamEM
fTRWV1UrYd7g1iYnNEGwbwR85qEAvGVVBedd630sqzurXn1aadF/WE1RXFwZo+qeibyObbgQBMSa
V66B7tCtNq+pKL5AO4R7LZePRK7hmb8NYfnsxjdxAwQZ3A5HP3Eq38F2TmAOe3UfF1a8TVdP2eQE
Iw93nBSeSOBKuF90nL+cPiv3pUvBMGrnrVIDrJyia1/LgL9qUbinJa33lxoctnwdwkuHQ3TjrwY3
IrHyh9Bq5En8tr4VCB4nHHFDFYuIwxRKJRyxtwCO+Nbp7acsI0JzTBg+5RpV5eBl5XfANxZwHox3
AyzTfT768xZbVL1no1Zd2c0C4JwXZzva8/cujWd2oJ6/mULew0SKBEzJNnjthLXcFzb4Rp6mITKM
1B80mZWF5O2PfZG/c9sXPUOdOnhufZc/a4v5CaTRySO1a8vmKnkYIKLdu32cv4NXfHI9b9piP711
rKY72kOQwG5Lc4mSKOaLZrbrvDClJDzPpbeY+2DnLLFn4XHxE37pkeyXZbVVZsShmNuksRi+6ZoR
G7/zxpJmczeaS38UiPuPvnaDj6noxDvElB+5jPu7RdhGvhvHdDzmsrfv3MobGYLnul7Rpf2InWxG
NDiGzLNdlytCVI+EtbiPCKk6seXUNCgxLGltXciZX52yA2e9URN+U/RZa4aB8g5Smi63TM0I/kiT
uwxbbKxeNCf2E8LPYYuO5howHfzWAdv9XiftuZzIBkDRBNCwTeyfUOdcxnCZ9QMHMl7+Bd5zsQEF
r09yWu2+WZFilNHurH+I1Rgsf1uEV7NwzOF5g3ehPJBncQ9O4RLTIvrRyONAH9ni5VzO3uj/jBO/
2qZW59+FvZu9wYF1bswhcyM89OXOzVglykYuDHNaZspNbzePynZURnsoultdWKS7iLjB2d7LAe+e
CmB+sjjAbL3arklmyffxaseGa2btJO8L1YhnHHJAKdUBKUD2xmlWvPGIG76VkxZPRd7HR5H72Um4
ExVv3Hrnth7J1sgQFkHKQwH9mljASC+jMYMsWlLSX6D+YgcR4FRkVoZncrfHbVpps9hop5YRxAPi
YgUO9n7R/ZsIluGny1b9GHQNtpA87++cJFUvje2qgvuvyfvIxiZSVC4uCKorpBCqr5qc9qGb8LJz
wm7pk4YwWkJpI6Ao5Tzuspz74RIGTlXtMHR4L1McLN63hPgmbBCB5skaDE7IjaiABcD4Z/LvFI53
69lF+j76E94t8kWeyqUm+gyugnFT1jp7jyu33hOsUTlRteiSiX8tIgBRSbBxiGoLgLhAPBCxjh8I
moRNWHG8Ill/AjMGPJIomu/1yk4wUh/ta78kF/WbrvAbtNBXY/XMoho1jfCtw7QSGfKVzTBXfRoR
31dupbGUrGCUdPfTynRgGaZU5C4scnIW1WTwmWQc1wuRwlZeHwdfJ/eWtOP5MfBz1dzphDC0KEy0
aL1iG0ADoVioGJGSg4QQ2GIR8JNyM1szOAu/nZwnUkV+53MOcxP4qsMClFYh0XFrmmepHWMLZ9Hc
wdqoVWR3Keco+kNN6eTZxz713DfCvNCoEiZKqBZOK2l+x1oQR8LI4+SajWPWsoMRKkf3l0yRZw0j
oj9Sczh9etVcAYDI44Ad51G3ZP5UQKcOi+ul0djPYHYnJU+KazIaeju7ypyY6tga/K9KNc4PUa8D
c5Uxrj7oSj53RRhn79gYhm0Faoopo7dK5paFSWUXBL8IT0qO3lBRgptsfLZtpvxXfDdil3mczjts
b8W+s7rlU1BYX6ZZovenP258KQ4Nf+15sdr+QcpMfku1Uz1Ok+meF5lNW6tyZOSmJqYaM63sXVKg
XsEFRXXQrrinAsKcUnlz6zhtFdm8x5eOKnLH5oIg9trMdwnPOopzkAfaUv1uKP0Ts94xamjcH/sk
C/eqENan62jnSHCT3MSszvAN4fn18eUdssQeI9WQ9mhnlcfP26XT9zKEFgKW4M7WafhT1HiweSfY
D4TFWsCaj61ZwhAehuSK3jnQGxM9Lcskr93LULu7lpUEuuRlpRbnGRLyuCITreQxHsMs/uio6Tdr
9tPRyGIbuzRPknrygBZDMuy2hjBm7M22vW9iB6V+6Bt3vb3Mj3JKjwOryhsN9J/lXW0rKnCj3JVz
mv6S0nNu4jjLOGjbhJgGgHFFx8E/SGK9y7TcLorgPYW6nYfOND+AUQ1vR52AeGLUeSy8zN2xpeLA
7Bo8S8K8DwLAUV3X6WY7rOAFn61w3QCmpbBrg9vCaBV8flJrzDJ2NjnOtndIJf7Gnjpw+1WWVu+G
7N7BZxQoroOD42pTkDU3/hSaB2uA3eM0E+XJ94f9CvtyP6BSwoA1443b4IuEabiUn25op7uRX4vA
KP2NWMFLmgTRvLSA3MpvXT6u1xuevN3QE3650ba9wzsLKDYL4zM2A/ezgJWyqRLhbamZTeKMap2X
OwVCYkgc3V6hHNRcLZ1/MEXhby3lZNcySYp75g9CRIMDkGc3wnW87XrqbVL6rKhdxz866OQpbNty
B29sObL7F7+mmhYtJ53+SGIuUeNGa+Ga95kISPWjT3V/9itwYwK04ZltSpSmszyx9Gp5ABvosP1q
fFiKNCEjrf1Ov0YpNteohZwlr071IMdimyAafmO5AJRwnG5s1AKvlFLPmdG2Wx/Q8SX1kCa0eqFw
bFJwjss6Zh8MFdXj8BGaLT6Z2d6kufVaGxx5+eg4e+kR/je5dvCWaoyK5Jex4BbBiEI1dp+XpnDZ
chfWpZ7Ta2bU7730Owjs6ZPyzC+bk3Q/zVRHdSJB8jXWu52aJbP12vnZwbKIRIIcWhrVq4Y++iVl
ZSzweQMPOgmckK2h5cC2xqseg7kXJBImuRn1Mog/RjGw8dDjiNMgnKfHFhoIK7MgZpvDAGLaux0C
TIp/xuVOqUEPDHb4WHNgoSe03cbj48X+wLog7Q3uhGrniUKdGYNvpiUDzjgnccRPJf2bAo3Y3eg5
DAlM7H+gBwug8cSclaRfBQifdoNI5S0useDEP/Cfijr4shLr0ckbDg9iuM7gP4vz7PJwheb4Iy7k
0B4KoyAWxFs3Ej6JE26pz0vmE4MmzFfFI2lbmsCABmudBcqakXYIcd03PRY9LnF0cQZXA72jQz6a
xZHgaTVOx7wBfDy2H0Cqz+ijxZaAFjY7iXETh+xelxJrK2iNszSBYJHV4+/8wivP0mX8B++g29aU
+vAjkM3GTntVyfhAaOtPUWVc8fHssvSvH1oHhgGDGf9UO4BhfKNPD/QuDBCXyribLOctM53u0scG
sGrlIW4u7fqQCpnssqYyj5oUm0i5Q3ci0lowuegb4kbIx0KQ+zCQ7X7MYyAQaTN/FAk7Z6uf7b1f
KJxqvf09dkfzaQrcAl07e3eE8M30y+388YmzD2CD5wJcFO1wVi3DKGHmWzM2SCtVgcGcJctwiYui
OIZefeP0ZbeNF9vBGZJNITttBOOsG0RanIFLsnJcGuLYZvnZmU3zvirRocNjJf8ByYJ9gzkXxmfj
VerOF6VxzHngKThGviYbK1dXv6BFwt6RpxFcSFYrTrKzq3n+Tp3FrZUAxScqILhrJju+Wfp0+GFk
3hfSg5m8wtTozi1j6IdFOzExcP5Ub2UmppdAu8O9ZaXOcrvqyskR9qvmwBS0AlzT23JF5nj71ZPv
s+rPdCTRHKktEgMJYAj5nCNi49ZE1YvBnIfBMYvH5zlxX6gQ3Kc2Thqoq3N/5D5ASKI6tnRh8DoF
EJ8Bp1pPCaGfW9JA7wKziz8rjROK2LYAs7KFTKGkSTcuk0VRcy1Z02/afkwv1BC93kNEb7DbZd5A
SiLnz8brhcwPSYygliFRSWgbszBqmgprc01zQ3k3NRJat9eoVyWd9tK2QQB+p/FDmIggBA4zia3b
mXPh3WtwAd+yixLPI3+BFwXtsLwNyME33MYxQyMG1OQ61sRw2IMET8/VQy6mnACrtHUG3kRKQkAZ
8Gx6NSRUTHieN6bV40lW/VoJccq8Eybmf2CdDri1h7w/yoBcVnDgLUVr4EAiSYxyxFph6yd3kD3D
J8GmbEMbFvBLGOFr+Vt4kUI7iuokTnTETG1+nAsE4GSZVdluIe2PwM+OxltbPKIpQSsZjbb8wuld
71gRPMwGZf2CofoskUtFrhxgjWdx+6CT0XrLcyrwCFUdznLlmvdduwbGIccKHjtX8TzlLGvuSxBj
b4aTDWc7bZnLrEnVN2o2+rdCGuKWpIv5YEl00TSvnf3QYed5DI2Y9kVhZ78YRmp9J1yqOPddMOLx
XiW62hq4S5uaY3VTuQHolKBLEaq4Xc5NOeENjIaJqeDGVqiPb5nw9zxPQmWXmH+s2YVPMLn80lW+
i3uV5EQpd/dL0kHv9GZp7bB/62ex+Mk5dzgq6zKdv0pZme+x2VGoLR55pUw6FEpzBG+bJM/at8Fz
m/1k8NRNGoeHGZdURLOT7UTS5QdpoDvZMBq9qFj7p3ES/Y4El+IqTVgeVPamuDYIrl+A4/bwPzXR
TSicnK2niD2xoWs9yKKVtwj9g2MFAHDXjYs84H50trYsuEoMhQw4wJfyjektCZpQUp8F9d1VNe20
H3qqf8aZPlMagzTcFOwD+cjQ8dllbBPZVTdDH/4wRpPoPrMCGZa6fWRgPb/B4OBu7RxbQNbaJ2JT
g3tcpPo0ze549gwfQT5AN0BzdB0DFeOWebM6d/CBb6D+FNfAC7/XgTZ3Y4zZKg/mz2Su0q3lkOAW
BzljRTOumJWp+RXYXbz3lZnupLXYO4ML/ZCOhLyMarZOpCQzs2mKerYYtC0RQi0zwh/kb3oXebkh
FvWeYfwgFy5djrPSeCR8kzVu4DfMgU3Cn6PatcbyUbuQB+aUh03urkISsrmKq+G30eSyvmHGalJp
NOneRJ6zCZvl1i0W/r2IHzpbz3cTuXMbayxew876Zicc1vjpdxly9ohJyWdYKwh1CQuPCUpB1Bml
iGoMMHvLLDCBORVwifxxCWDANo4LRwJrB1Tl5Q64mA11oH2TXZvfQ9k4xoZ1pLDqDyOg5Q9Dswax
YA7ZAsKJWKiQNbL1g4T9ukHK8VmFefswDe0Darty3ogm4NFuro1gWhp3ATBUCCAIK9taWFe8fj8d
wx9uGqtWpG9oBwvkgrCcTO9v/cSuPan0dZRSYxZu/4eD+v+2tiatjUXvf762fv2lQJH0f1hc//3P
/EOobP7N8W34OvzIf4fz/DsG1bchpDq+AL1i/l3F/O+La8f9G5JdhPIWAXrUDysp4N+kyo71Nx8/
JqMXcKi46Rz/vyNV/pP5ygpdyEGhzzvkRdYd+R+31jA0hoVYS4zWAf10labBBlW9vfmn7+Q/MKz+
i/3KM7HlkTXNNcty/M92g3gAV203SXwc8hqy9ChCGlgdNx81aJv7ygNEXcJsJxNwgc//16+9/l5/
9Jfx4uAOcTLxtfl82X/8iKlXltouiIBKnLApOK+6ibkeMurKRQzMA6b5TMJKhkyX2K90y5z90gY5
slQ5nh2VSD4384BCpaes39qt0Z6HokmRoOVrjVMSG4IpGFETR8LN0PnxY+WVU/T/8SF8RAXmatng
QvqTYUMoRwJTXVhyLCCdtQM4vTJIP6cAnF9aqCXb2Cx8zuAK47Qp9BoeDmXAbRKCfvssXAXSlr5v
mNLQCJI/CEB/gVlaQGXG3sFKZzKfq2zA31EveKqNChXcX3+Gf/Gc8Dsw2Aih7QZYKP5sAu2IMB1m
fwqPjGKnSIEbolNTM1q7/OuvX+lfjFnrK7HxR93hBi6SkD/+4nQC3brYCI+jnQiMvQTI917QnlVv
tw/CRS3916/3p5sIaMdqACOSiXXyupBar8B/kn5YZlfX4B15vSRTD5wo3WYZIL7/9av8B9+fIxCe
uDS9WBicP3kyQ8VxUU5GgP+LxEzUDF/SDrNj0QXPf/1CvwM6/0DyWj0QJimn3HhI0f58KOQJOpuJ
a/CIzZR0Xr+zCFLimplnfri5stcxTAp5CsZt8YhwIrjK0mPjgyD+MR3wJFeu2z6o2UNS6o2oqaS5
4jFHuKnHZM3nIPcHmTfX5suYQBXeouV3YAPkE7pkJ+FFtHQs0EcQ7zrL694mb8mOf/0h7d8e1j98
SgQpmCxd3/KpaUIXbdA//2orHx4KhdLHCWgiI5+GzXICDpNRVbFvio6m0W6+dKmMyC0gbHLx5sey
WsOK2InuGdEQkVRk7LZh9kStV4O/sors1kXK9uFPVfXG+m6nzMl6MsEgEHJLDvNWUXw9W6II9yl8
/Yg2SL+kSW1R9WfzAT6zmY/JB8dZcfR6171LBgtrWdY0F54u6bGSMfVu4mVHiK/ztnGzapciSTp0
dhM8q9jNT7nB3KA22xT4RBL/SLHPbCuQYSdHItCQZEG3m3HxnSv4qBJoIHxJOVqUro4cth7CYLJI
TQDEBbjo175j4oBva0Njb9y5wI9/zvO8qvrTnhlsbx/c2KFyzz3QlQstTUSF6Ty4qS2e5dBVb0Tu
FV/STBuURiKc2UYpVJubqRE2HUGqv/mkfkR+ZSmCxMPylM+5vi5t6N15JZ68PsjqcGNX2XTHyA4l
cV66n6LtdoYO4cXFxS+DrcENuicDfmJG1oevzlXFApHsxBZkcLgSLOrbJpbxxtJQl6jqmQ4ZJHvR
ZV7X7xNlYy63Nn5qGAPQX83KfndTb9pAmxCnpKiqqxPL+cUoi566lPyKW3MwYLTOY2rtBM8XWt3J
PoDqCE7D4tifCljwfc73xNpaDBDt/I5cVWcP35srYkTtObS2/dlg89sXqWVENkP/arNWdi80ogNV
MyBJgt5RaeomOU7zsE9T+8GKq4FIdjme0OnOm9nQfbBRqfXTVvzmDNfkw6zKmyx2U7AwYwH8uhyY
0BSEBFT9sFWC1tDKEUkkDlPYUCdPaGtusAd8pPgijmnfi8fYXOZdrrw3prfIFuqaaU2Xb43cC197
Nw72tlLsm/UwAf8uwk0zLnpbCZvQtrw1Nv2IrMuna+GIGsg0r34TOJvVP5CEB8arNfyvIGbcm868
GR3DLCucLQ4p0uLJwx65uJCzRDyGCIxLAg9/6ZShRko866C6zri46OWvvUHYoWJj+JnTVRG70Plk
oMyYvzBQ5/JuYTfAMdWZ7WWeTefEsr48mnYmjn7D7eIZhCUWRBUytxt2FvhnlsEp7I8+jbda5PUP
NTrJt5yUuJ+e383f7FFN54oxw6kYQ2I6E+lcYYoSA9HjAECnPJ4GdGd3xszEfihnlqMbdn+decL1
5S9tZLZetatEghbfWPSLM4p6b6/VvSjgoiIdcZB8o6nCbpIdTK+trxmTb+YEzBlIwgQRXw/EvGWe
bn8PDiOvGeaD4WFSajtR7ON8nL/GXk3NrZjRrMfMoLfLOKNOalC2SAvXY5bw5DAX0mIsMcgdE2Fr
xydWZ9/rrd2EySSyUjFf0LJ3b0genDuLG/V2zhicRUXco08UiCl+kRQ04WgStG1kwvxI2ZLtycDw
X39njNSubz4bgvqC5Ul6VxQT1clIydc0cN4JGSTvBEZc28J0I3VJC694LDF1fMtzu4gKsUwRXjZ9
b7gSQ0Zh2qfJaQsmY+Hw2vQd9hcmBz8XIxUkyjmcPYoP2UrKL69sCF5B+HicZ1ve2ukSn/0OQ+08
2fjAPJvxYN7UcheqkU8O9f5uze6M3MG2dhiQrJ3jOsnd4kvm5ay++DNWWBKIwviQrDabd1IMoTiM
Y89HMrw1ghFAebJFO+Du7DB170wOBvZNOCVkby2sf71yG/pDfKZWcbcy9kKkXKU6jx7Xq2kzqaAG
Hl8zkt93dmO15xxSKNhz17HYMFTtAfq7e2GRZzzOvADZ0CzTEe2zW4zcOXU/SJJnBg02pH8UPmHk
JGEMj0rg6FF+an5D20hsHJ4b5r/Nocst+n/qRfviagH0mUPBBMd4C0uX2SPau1NVgJYby5xIDztO
d009PDMpBRrf9xl8rcndIcBEFF6HmAHSZDwoOc7pga/fL34oJ2jTq+qqduRqZqqOcgdOdV8pESkb
B8Q1ZAMsOVnnDklkYDnpLRouXS2n34/3/zHY/lc6axdr6z9VQtFn//lvoLrbz+rX//5fr5lKMJP+
ATRr//0P/aNjxSbrePwrBM2/ObOUs//XW4v6GltriFGWytqmsv6HuTb8Gw0p2mchbM+jekT//A9z
LenMtkcBRj0ZWJblef+djtU3/wXywsszLuev5F2g3l7L8X8qt4PRa5oG0iQ9KxooCGBNwJMtdLnt
5pbgTnun6/hjrgMXAmqQpC+cdXgKyDy6EPg+3NoNWcOcAPbe9WMz3ilgMvfpnMiL8uryuakJtiXY
Mzi1cf8c8xQOtvPQfgoGdyqL2IYnL6Qj1K9Wj0FcVhPPmRHH6083rpsLkpfw6sza/awFCRrMalkq
2pKqb7N2D6+91xi/Cu3rFx54lf4VEiPn5+esc6ZbBtg7BYOBGLD8IvJCBgdvxKEKYgBIHCPkAWJP
b5kmp3RjPBuOCwcDZ8m4kygoNj6FK/qJFb7lW7a+NZVG7VKkwUdZlAG5r3SwfC2E6RwhxiRkjphs
NQuP8begPd/FwUTAhdkK1OBd8d2plvrCAwOIZ7A4kauc4pvKQU+4ZuxQ5nEklujPXsnmmR+rxjWp
MLvVcY+39R4BpvAJYcJ1JijA3jm2eYQD5HlJRZdCvoYhTjbk2PqvssMZyTBfG5DOFCZbKJ2xaPdx
uJJ5qCZ7667FJd3uDczbz6oNnM9BohLd0GfLdydxcG9AR37WLEz4ljnsEnYBofkcFoxqNrNFa5tk
PQ/TUq4imN4u6UZU05u3Hc7CVb/UsZKwZc3CL6B7ZD6dohyDnt7WxX5CXHgxFSGd29//WAIiBc3L
DtTbQL/g/zenFX/GtcF/XWVN722FhENs3Z5la+4EDE7dwcMuOToruzRNFjNKtBu+Il8k5wrQRPhK
QQn7VQWrBzVUjvlsmS4foxpGaBB+M2Cc7EP7ZBNC8ynxUHcHp8fUtFG6Wy4hGhs+Z2XSJCRmQQCC
s/CBfqcFoB9y8ktfLGV6Rl3IG5iINEjYaYGzINM3lu+EXeAhT+IRKL47K5u0Ng2RJ2IO61m38VhO
8b7r4TyeejlmzD7RFP3EU0sGAN4/NLx4sTK+8VaVhxIBUruFcg7UYoMPkv/A9oO/Xnvrhw+YLRDz
ZBV8g2rS/JulZfjjeIwyNNX2yPqCCRCzVGPrGJIPEeOmvQ+ykRjY9RU9fyj0fjQ8HsWlybXZjvRc
23xK4tcJwUKwtR0X04AzWeNyoFB1PgV1eLB1Et1cPKHke2tRp20Qz6pjkuWu85DkQ7gr7JbUn8zO
YIBgkLPtbWsB/NskdsnHmqn8rik6qDfm5rPx+vtdBiVd/rGcHbTjtunyZkl65iozQHHfhorUY0ID
OgJsOvhAA/srApSfMIwyhGrK9Se10NvyneSrAK0nLZwAiA6/o2r43+GcAWJh5t/BXGpovosGgjKR
GAwz/KnkhPLzVh2dSpjzPmtl+YUKhysy94z1mjJXFVniGkF1aFAZkqZoVnrYprLQW+0X/RT1IeUJ
vsnpUUyBvh/zWb6DuBsQ1DQD1uEyrUm6C51QXvuAjkS65BS6ltGi87CgGw4VZuLtrABmecKPL3k4
h6/8mCiLVkr4I5DBftmUqpPvbMk6FgW5pZ9GruJDjjJrj9GPAIUxcand++5HbsBRYFXPbVGGpX4K
PHSCvqW4sC01KT4MX8DVY07Ap0Mba+MpcXH+9gTe2ZEb1iyo+cpQVmhafVTQof+jlTkjMbNuAnvn
kBbK4dBhkE+S3Dnhdef7nQEOvirf5wQZWvL/fKua7tAcOTvigiy6yR6UE2Q/1l0VI7iTrdd8nzJI
0y0MtgSno6wfy7FBBjUWRJ5tfNq5F1YQJLVTTv9y/Mo+x8BIj/kYmD9L1/9N+tL+nsil/NqyBv9l
E8fwDKxwPskK38HMSHHbZMYLBFL1Sm/fRXgQ2YWXYUAhayIftLRRXk2aWf6drvciwNtfJ2L5lc0J
DnubXKUL2GgfZ1/u458AIma/ExPD8p0QS4yQTJ1pVMGRVi6hTe40rRWk7in8snjxr27S3ipPVb8A
yKS4OwNaVgyXLdbUXge3DKEezcogkZ5RpQ2aIRg781qylWkf6H4BQQjMAKOn98jUxwj/j7yBIYiz
xBji+3pUnCazj3PDkMMj+zR2MhPAxj7scCUgd7evsmDj8RJLu3klWlM9lZNzn7pj+zhb5LxNSWfS
pZr+U+2zSSGGpQ/uWvyjMNhLupokFd8Sa9IXJw6el8Ty3oYOiHVDYI06uFPdhNwfkrRGtIvrjY9N
XIYVuiXrvuswJ3ro+dwd8iZxnZoFiVHc9uIBLX6DcswXuzJXJiQfW2mkSgSi74gERcUIqnr6iKWu
yi1KNhcLZYU4/EgsWElUo+mUO4rsZhto0T9b2KXeMwtpBY9CMruH3GHVSjt5Gj3iaFlH5h+ax/uF
kKnhtrfEx7oDv5FMp9k9T1p6pHHF/RWTYx6NDCWfZnBXl1nn5kNhev0XQZrqYw6Tpv3UvSjHB6LX
44Q+YilOSVkgGmjVN2te4oc0NTHxQInCKmGyQOqhx5fg6UffU+ehs407pXpv11mAdJEDV79gXulr
u5q+CfpGr5T143uQeXGUVKl3H8rQvWM2QBxKURO9TZS8L299Iy5uRIyZKgKJbjwQ1ulGvjNMO74u
fzM6nj6z1Kw/mEBj02nkSzxIcS6Eeu15JO6QH7kEPYl3kxD7fMq7qzG7zrdpYpvHPTcr1ByduYuN
NL10CS2czfDhZvDVMRgY+RS+BbJNYPrf+I3UznVKe4dPGNDfpQ4hiIm0Bhbms3HrOVwqAiRHNQWA
KMv/w96ZNLeNJFH4rzjmTgX25TAdMdoXa7EkW9N9YUAkGwCxEYWFAH99f8VFTVCy7DZ4UEwMTt0m
VVUoVmVVZr58T30aklQ+9GOLDLeGk04ISWJMSE6qM5B+hUYVbdDg1vm6C+YZPxZ6P9LAEPQZMFcc
AgnVvzi+Yd05AG8fMmEADRVU6PI+ARzyiwYN7xKhGgFqCuTxV0vJyWcK8pGq3syOQCaYqKsmyQMF
OxDRTbl+nGqpGkI+Gk+p+JXVWOSLTWCgZNXvoJfVT+Exbx8VIeqrttClPi5/WFN4e40Fqs/DpgiL
4zJxv+ilUp/N0irgfzVjdkUlen4fmAlYBQqQ5yfwlMPFEswz9bJCdPML0HwcuaF1AVUDykUREVyl
iOEWM5PqW1AFBEzQ1yXnhK6a39T+15raAUALDVD0vNAvrVnSnDcK8HLDDZxToo38Doirzq3DJIEU
EkRtBU9lGwWIOlOqBNV8Y+anwBE4HWO4yQ4Bb8dnM2oUvoGfhFwKcasH6u/t06LJh1MCLCrlzdMi
PEZoBkU4CiWURqj3AVUwxSFCEKhEUJJ4BZuwQYAmaKurRhggATStgRACewpZB6JGRzb2ZjzNK+tP
Qp1zuI4tc3EeuGU8mtl2fu4Kd3gSy6sVJeyC0u6W2BHQiuyICLEFT00+AytZU9ZROdX1fKZqx8M2
RkOpRlg5sm3tKpom9c2icGb6V843WClTWFXrI7QckrtpGepHRWRSOp00vnUPyhRBGHPgyjKFKdeC
dG48R9Co+qcAlkCn1Qp3wchSo1ufQ9av4+YzkK3ihNo8t6EewyEVzjXgWoP2H8vb6v5/wQ6Co17o
BG+Hhvu7j17H/WI4R0uMmsbTPKraz2Zhmjd5GuSCQFk+OKaACFhIFpdXjZq3Z04aNneqWRaPwTwB
F5NfzZxFc5y7Wn6bIBs4QgmYWEmZi0u1Nodnwne+cVGbnxKSOa5tYXwhZEWtjFlHEdoWEJPG4BBg
nDwN3QXaPHNDgEclVwCqJdGsxX2lK7PnJkpi1I1cLaZOldLUQz0FsJfqFPJHVCxS7gNo/27gtovb
AeF9qM1noVk9k1onIN2mkQ2euTKG2lkywLhdDBt4PAPdvs/U+Gmmx01wlca5Pfysp4pXzt3ZdWNy
kYNkOq8uojloGviB2+gEKFcA8gUSNeUpTPgvMUcHIx3eZaABTs2QcD8MGiDznxYBJYWGLhzfvvO1
WX7H6XdRJpyg8x/kNHbzUOSgTMuQJO/UUeKn7+S9Ii5LBJ4BypkEAHE6QqpoibHF3Ny3QgY/kc9d
doRkDCcCkCVtNxvpCC7zeUxHYIWBzM4cqgSIznNX42cwvCJ0cLP8rOE+usDg/iCjK19jO3HjksvV
HReUu4GOJ3U6Xf9/NmhVG1whtSjTmfZozSELDPOw5SoRi/MMaU74zUub++BgnnCDf//V1V0aRtm7
oSmQIqu2juLOziTPp+ZgmA0FAo0qMPXDeu5XxrUd5dpjOi3woMiD8/K10UKLTvUVsXaRVrJ0wbdj
UtCN+oNs3W6yExp/k7Q6KqbACAxjdzw+hWmt5uPM2EIYF3Od8IMZBtrjorWLsSvUH6Zxd/OQrmLo
qI5oAAYUiEF3qUEhT2ihXyuy8xTlqM8U0SLvzGnsRYMyCY4RChgh42MYN37tVPqFIIk+RMIaAb3k
mlqZmOMOa35CgNsQt4mo1ZtkYC1ml0JT3W91ULondQQrzqGxSIfc1RMLnKmv6C5RHKNcPGjWYAgR
eBOJ87Cq8C0oWfBgK5+XDxBLUfK9KFWYv45SiyL9PxY4kXA/OA1euj80dRw8HwcUqUCy3bZOljxu
izF2Iv3TWdTpg45GmRQrlqB0MtgzmMqMpvns4xAP5IGp4FUT4f2yQF+mOHVRZEap3M8EZEkJr2Nk
M9U6E4EK52ChOtnvywBIYuXqzf/Dmz+jpYWihkae9vt4nKcWLZ3U7+BxVn+zjm6qinGgmLpmWwo/
IE7C39FNVVX5COStTq5vhbnZqGhJOA4xMCjXbcPC6LDpN3Ac5QACWPB+igPNHzdG7Z8EN3csOKbF
lCl+FNw0A0VSXe69rdAmqrkqtCT5/KZKxn4RgwN73pqNNyy3TGpv2c5XHezYTtHocTJr6MCZUv5I
zrFyvbC+CV1qzMbvd7U0BJ2+QHqYePFgCFyTc3AHsNCSfIvN2FDZ9hQ3y4sFkRFIzGTZbZSbfxTT
xndGAVRLpUIyVisQD8/gRg7TS0VXcj8ZZzk1Uz45cJQ4XftsKHzlDL70ahI6ClVRnythFLg9ijVb
XMSFOx2KR2dK/orjKRs+tnl5OtVC87IA63g3hQSdWuXpME/LIw1RCyqNBRkKrbZQ0EAAWHfxAOIk
D6IHrjB+LciIp7WdHTMIcnBUMIHrgNztUmD4v7ZNXF3FwxxaKZJs8RyF5hC94ysblehjEyzjjaPC
VPcHaUr4BQZ+QqCn1ASqiqah3wLkmy2upiV47oc5QSAjPdFrHzkoWBMpG2yG1HSLsDj737Ia6+yO
zFmcLK3Bl2oi2vtJUVHMtGFnkZ/eZWFaPlIxXYZl+0+/9H5D62TJKs0yyqq0lCOAayPdtinszq3N
8DKk5VDeayH2GHE1Jg+juxDaAD6Rp+jyIcsRZ4A8Vh8PXBeT45DjIMK2fFYdbk3R9ybh/fdbzeb7
3+m8gTfGoB6HRSnCUbk9BwR/yPF0TPFySK8nYaeJrUmwD0gyWUTn3dUkcNnangQkDQ8sTDQgyBXR
9qrDDzQJ6EZgQvtNgsMJQvJX3iqXz+4kKCZct4C+LJYIPX2gtyfTJ7NvvV7fQNdSB36lc66unu4a
cJCp1CVO1eV8lc+HmwXC+Ra/Wb9Z0A5wZbhT6+tFsGMObPOA6wps3VCVLJ/VqvtAa0FVFQl87DUL
GqzOEpFsrXe7NDDb9sDRDgzHhlxL3rU+5FpQjWW+utcssCNwb6lQ3xg9bpvbs0Dt8oHFdoDrh/sh
XX2gVcAFTl5ae70/RyOAbUQn9LVFePX+EL6ZVJdCubtcBavN94FmgaiIxLj3mgVDOcAJkDq6q6Wu
sLm2VwF2kW6ALJES29jND7YWDMxV31nQsYuOxXsC0V0+3Vkgxnkg6yAIf3y0raCD3uu9FWApBPVP
zGm10l8tAuuAwg3gOnily+fDHY6sT6P3IrAPjCVS2wEMIx+82u2tsFoEFptuiT8C1v3h1oJhab3v
iZhFDdwTuKzVb71jEGT44gVg9dPHwk9YzRfX6ygI4/HS6QonxVtu1/e+sHE3Xn++djWWIqr4VJ0v
Sh9s1ffkJTb0W8eXWJ58Wx9uTsJlP+s/X7/g6647fW3eavOP5+FEeCBXSZxLH3M9zBWE7j+x9+wl
3rYvRPiHnff3SP79r844t4zgDxouop12DaImvdsV4SJLuw27ko61f8ORlxZd3laCrGy/vi0feTHK
o2IHqLhyOXu3DbpGeONsM0q5+FZ+XP+W03QyKsNR1fGUbWKKm87exG++XBTeWx3Hk9ibe2KyaUkO
GzXfPUz2xrv/lP35iQhblTx38aEkF/awCkF7i3DcXYUrn6HvtJ9NMkCt3ZZxlvBM+7Z8zoyH4aYd
OeOIC8qEU9+GL8Ze0FmAa8ehd7so/qZZWGxGuBzy6jbau+l0jEBud5YlQHjT1a+v7ItsvtOs63DE
9x3w1WvbZKmauoeGGVk1itpNS8tJltePzT/8+lR8zqhUeTXNKBbu4Xi59sK0Yz1kEfEexnztifaV
IjpySnv4Ca+9ovBGQVVMyrKzptH1MfYxJeEoCH2vG9sl6riHHX4dchZAcdBZ2RqBzD1smOuwAKFT
hBChbZacXINggqWD0HffyNYzGDk2La2b3svAqZXfsSGk0R1309Wvb5ybybPwdm5PFMRae2m69rrn
1jrK0XeibybzT+deMiuCsHus0770cfbR/uVEFJN209byp4T8bk+NX0+acNQ5xoiFyijgPkb+O4i3
TUvrcctwQu+mEdcJPr2lMAdnqUR77KeDYy/a3ftU1OzhSnIbhN0ZN1gt/Ud9G8XcSLpejUboYQ9G
9lZM/N302TIy1Hem7yaQ7VAO5+24CZppaXsY932QjSefLopXZ5ttyRqrvqN/+KHU4YvX+2vu5KqD
1wsRYQ11D/7II7M/KYpJ50qxDnr1nZvvqoH0nJKvpRdsfjlpU9BmlXGZvsN9hwWm54DfK9fr2fST
x7mDDFN3a67jdX1n5GlSlJ/eHDxprD0svqewGGVU0XZubut0ZO+xfx9D9O6UvxVpeknOvI4/bTLx
b/1ZN7gmvzGKJ5747S8AAAD//w==</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Performance By State</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r>
            <a:rPr lang="en-US" sz="1800" b="0" i="0" u="none" strike="noStrike" baseline="0">
              <a:solidFill>
                <a:schemeClr val="accent3"/>
              </a:solidFill>
              <a:latin typeface="Garamond" panose="02020404030301010803" pitchFamily="18" charset="0"/>
            </a:rPr>
            <a:t>Performance By State</a:t>
          </a:r>
        </a:p>
      </cx:txPr>
    </cx:title>
    <cx:plotArea>
      <cx:plotAreaRegion>
        <cx:plotSurface>
          <cx:spPr>
            <a:solidFill>
              <a:sysClr val="window" lastClr="FFFFFF"/>
            </a:solidFill>
          </cx:spPr>
        </cx:plotSurface>
        <cx:series layoutId="regionMap" uniqueId="{75BD8B5B-DC6E-47CF-B7E1-7278F47C5E5E}">
          <cx:tx>
            <cx:txData>
              <cx:f>_xlchart.v5.6</cx:f>
              <cx:v>Revenue Generated</cx:v>
            </cx:txData>
          </cx:tx>
          <cx:dataId val="0"/>
          <cx:layoutPr>
            <cx:regionLabelLayout val="showAll"/>
            <cx:geography cultureLanguage="en-US" cultureRegion="US" attribution="Powered by Bing">
              <cx:geoCache provider="{E9337A44-BEBE-4D9F-B70C-5C5E7DAFC167}">
                <cx:binary>1JtZbxtJsqj/SsPPt9S5L4PpAW5VkRQpiZIsyW37pSDLcu251V6//oa8ja12e04PDi7QhmGJLCYz
MyJj+yL9z4f5Hw/N4334ZW4b0/3jYf7tRdH37h+//to9FI/tfXfSlg/BdvZDf/Jg21/thw/lw+Ov
78P9VJr8V4Iw+/WhuA/94/ziX/+Eb8sf7bl9uO9La66Hx7C8fOyGpu9+8uyHj365f9+WJi27PpQP
Pf7txfHVi18eTV/2y+3iHn978d3zF7/8+vxb/jDjLw0sqh/ew1iqTygXjHGK9Mc/6sUvjTX558cR
xuJEcE6VVAo9/cFf5j7etzD++Djev7//8t6P1vNxNffv34fHroOtfPz573Hfrf3T1h7sYPonaeUg
uN9e3Jmyf3z/y01/3z92L34pO5t8+kBinzZwd/Nxx79+L+9//fPZGyCDZ+98o5LnAvtPj/6gkeT/
/kwCf1Ej8oRwJoTG+qPAnyT+vUb0icCSSMzwJ5V9mfuTRpL7pvxggyn/C618O/aZZp62+HfUzOUX
6fzobP5FzagTrRXniJEfawbxE86kooJ+mfSzSmxjw/17++XdHy3lx2aSfB35XB2wr7+hOi5f/kwG
f00djJ5oqoQSVHyyA/3MUAg64VxhTMGCPvnLT+q4DI+5NV/e+58r48u4Z6p42tPfUBXb859J4K+p
gqgTrjnH4rNH0s9UocgJU5Iyougny3lmIFuwj/K/CSNfBz7TydPm/oY62af/ezph7IQqjST5Eib+
ENkZRHZNpUL8y6yf7GP//r74L3zV52HPNPG0pb+jJv4XrYOhEwxaEIp9OvyIfO+olD7BDNwYV/yr
I/vWX+2bpjS2hOTnz7O+H4ePf498rpW/p30c3/xMBn/NZzEC4UMTRunnaA4+6ds8S/ITAU+4wOyT
VsSXuT9ZyfFx+uWNDfWXd//nceTfI59p5Wl7f0NbuT3+TAZ/TSuUnyhGtEafy40/2Io4oYwSJpj4
YSS5fTQGCo3Hx58t6cfG8s3QZ3p52uDfUC93tz8Twl/UC9SJhEopCP8k92c+DGN8IqQihIhndnLX
3xc/W8ePlfFp1DM9PG3ob6iH36F0+nPP/df0wOQJg4yWSyU/eSX5vdfCH5NewRRi+KOinuW+v993
BdCK/r/Jf78d+0wzT1v8O2pm/7+oGUinqNacis8k5XkOrE8kJZAl6x/nwL+X3YM1XflfFCbfDH2u
F9jg30AvP1/it7bz3Sf/OuviCEyHUfk1dnwb8bU+QfipetefIz77cjo+RfxnJOrPl/UnLu17kPXd
Tv4/Ya4/R2BfGWF6399vPsLFbyjYz59+3C7AzmdDf+bzPslu//63FwTzpxj/FVo+fcnnkZ+kflF2
3dNf58ov6vhm3ON91//2IlLqBIPHY5hQTjnmAr5yevz4SENgeuKbmECZY2zoC6Ce8Gtnh4+/QnIu
tYTClTBNhOTqK7y9ss0CoODr5j+//sUM7ZUtTd/99gJqKvfpU09r4kxzSTRlWEqskJISluEe7l+C
x4UP4/8zoF4V/Vjkez+b9QK1YdnRaorKmDV6wSnKi/AwD6N/cDhkh2/E8oO5gXz8YXYoIPDHIwxn
GPFns5ey9Lx2Xb1vK7teyLxetxHpyJCsrVMp7wt02nuO85jgPq9i7JeaxaMl5twyu9yt2eB9bPOO
5LGtRWhijRcbkjoj81UoWZ3KJXJvVleHlcRdVQ7rWVbKZdiYzpENxf16oWWOTmGVTRYvBZvr41iY
8VFWig6JL8t1Gwqqu7hiVLz00SKTUGXzTk3TfLVKWK+jxbKTI8sOls8gN2Fmcw7L5CbOJuPuqTbr
ViFdp2aI6H4ZlgrHomCRcafN4vIh3OBsHaKDmosJx0sEWno/5jQX20nLiLxCY5aXm3bI51DFdRHx
NwXSiy1jPem+OLM9rRWNp9a76coTORSxzNWUH1cdFWpr6wXnL6cciS1q6tazuMxbpLakG3uURgW4
nz1mT5/McaHl6znUzuyERyLOo7rksViKUCcZ7mSe4kmtVCW4Fjgvm7gVGZIi9iZ/165LfjnKxW4s
Wpsy7uTiXYxzr16vw9xHG4OneTMZL3eDWNMeXsUWjeGBV348SlWhLqlRTk8bQfH1WhKbTlk2vg7N
tVa62bWhRRe4U81O6a0Lo6qSsRH+LLTT1jPvrnxREzgwTqK4H0qbRIvOrkexzHe14/VrVCx1LBtT
JJQPNunLmj9GZq5eqq6fY69nnxod6W1hcLnvlaZvKt7V8VQUNi1lMPtSm/7AsuaUYNy8LJqqvh7n
3phYRrlMzOR3EZ7EobNmP+vlVpowhjjSunvHLc5etnUh05nScl/not2gqW/PJGq6TedYmxRr2dzZ
UZjYR7jY5bPVDyKvfROHLFRXYyT8fT5ijpPZLeioF7UWcV/h6GAKAaMWZNB16Nyym7xfX1HS3FaR
I2+EyF2eEFY/lETgV0KBUbGJsm3WZGyf1+0YCz+3+0Cnxyzr1P0613ijnUVLDD6hvw9rt6nWMpzi
YmJx7aazkRX8sqm7ZkvHlbaxyDN7GnJW763G4iKzEr+ZyaCOWJopi8nU73VVN3vDFp0MzHa33WDz
Szpxe1rTlp5NxTIfG9Wsp23u+LVzBT4Oo6tee1NUb0CjzW6eB3o22LU5HYxxx3plzYPLe5ElWcjl
oQx0vfK8H8/b3qu0LR0e48wp+XKp+raJo4iCW6FzeaGWQK/1ikQVT2ASp80csih2qiwPRuT0clBD
dz4GWv4+d2geY7pM6MLVY3nRF7W/HephuilL4Q60zs0mmkv9xrKlehVG0Z/13OpoMw+yOqBVrmSL
26K94khne7fO065fUZ6iSqtt8CP/wMfgd0yK5fe5InWa62hvatfue55dNMiaNBsKFE+azxts8j3R
7mzhaEkyTWNXs+H9YCYS09o0pyif59hwZ1OMu3EXSiO3pEBzus7Cv3MZH86Qn8ptw5YyEYZN15Xl
/ljUajm1YaDX2TItrwdbrg88w+M1CCS7nK0bfl/lgpORTW0KdtKntp2r06lh1c6xSvi4HWx958rQ
7EDtYC3R5Lda1u49jUS/W1U7d/GcIbqZxcxi34b+SuLRkGRsF5FUZCxi1XHyYSWFjmIksgGO8mJT
TfCtm+vxosjaKzf2+kgsyV8TBfa/cu23M12iMUZLiS5EWaML3df6GNmWXC/zOECg6BZ9bi1udrqZ
Lxs/uCbGYKiHYchZujLdtkk29fO+rHF+cLYyaa5EmYAwzMXg+1hLCq7GNOYsErw6EM/wjVhaThLU
R1nSebE8FNU0B9i0CmU8dFV12i2df1cLuZlRVR8gluhN5i15Ww1juW863uw8K8tbHKruZS57eST9
MsfR4NcmHpba33Vm0MeZy/Vi7Fx07+yAIKLh6WVTWp/HYD3y3EzT8n6JbLUkde75qTF8OkR5O+6y
Do/HsQ/0QBpitqr0/tXEeXc18yVLFzauO1rOxTVENvdG6MG+U72RH5ay7ptY9F0ea52/n+q52rBy
1XHWu+1k1XC2zB1PJUZ9EllYZ6KjLtorXFdTjLpmvHetwk0ykok2iVij6tAUzL/KBtNvrHR2r3hb
ZgkXVf3BMOy3nR797yo3QmyYzdt3NM/Vzvg5uxhwps5GZaK4mdewL7Q61UNNmnghEN/ihvXNsWdI
X1aq7S5qvPSbQXX24G3UX2R9JNKK1fw4NXKMo9EMvyvGRUycHrukY9Gs4o5Ow7XLO3W+Rnp5RHRo
hlgPJYRrDTI+a6Y+ui0KLt740oLrqSPLYttFlXly2k7E65plmx4peylrQ48lygy4pXFJa9UsOK4y
rnayh+4BnImppAnRkU9aXNhktlLd12h1W1TSezZ09iLKDb9Red7FGM30fOo1Aze4kKvFryjJM3Px
pMCDbyjerf2QjIspU115cjGovtrnxNI4FMZe2ZzQO6n6cTPLqNl6b/kuEpVxsRZ0owQEx6YuuzSy
1O2XFXXXkufsoS9C08e4d2s6TKO+wbxyW+M7skVFwLc8qwqWtJFjV3XmsyIm46yvm9zI3VRAkJ0Q
PVdZmEDtLUMXHuGLnon5oHuiNriM/GMxlKSPo2XSp1nv5amMKpd0TbckJlu6K7c27qpenD+tCkJO
Z8pNsvIySqZp1esuw0H+DrkAuZ2prpZ44FR+UG00vGmt4tusdq+5b+QmqvQ1JaGrYH+oh7xjUt0p
AZeXx1VfFYfJhWgvDOnKRDIRMgjafn0oXWh93JXZdCDDnHIL4W2pVQ5Hk3Xbtqr5VQa56RaXEKwH
UbNqO6kgq5T6FfKPGZzwkeaDTzsfXhkU2stxGplLshWxHcQ7sx3ZUKdNHy3bqMTylNhGXUosZ4gK
snwDCZrokqhSkIAs2engqizJi1qTWOKA6z1vcpzAyW6uJuvGIglsrngskYX0deyWTR3V00sRQhFP
K532Ai3msq/9BHZCRYDDoeV7SHyLDWM12dUI3IqSBJLpGTJVE/cETTcjavI7VNvmjhHIAVnerSzh
mfeXru712VoLyFZynu2RdEMb56iiKK4tRLBYjdm+HMawpnNOq0PVa+3jcsTlACmmtqetJ3n3SNtK
drqO637BysXUq/Ns5HU69yoceFP4axF19IKxsBy1DzjVdZknfe7nQ2GmdZND4v96FeqsYuI2F+WU
DqQ8mpJj2CU7tLXEb0vJSByWpkl8JjSkZK14jdeR7JdImnicCpr6Ieo2jq73oVjelTK6Vo6tsS5G
kTYrLuLOlyixvZl2iEYsqXmTzFAinJUNbjdNld+BWuh2WBRLdKeHlDaQ3ERNeTmykl50nL3BHcvi
eeyHOK/rJq1rFRLXNiCYdtJx0y4uVpS62EpmDnnh6dYMalvkZjmocrwsFkZe0WCaOlGzbRMkTNjC
pQqSrNG8Jlk90HS1Sx9b1u6kmqd4LSv6ZonIvKvK1SWtVjudcXk5i6JOnDD1hYHjdx91ckMkz27b
vhOnLsqWAycduijapkzHfGLJqgKEOaBw+9JJtV26fk1cl/FkYcMUO9vnRxM1ENnrarnkCDZXqWZT
rn0LdYILfSKc7OKfl4Z/LEuB21LKFKAPoQBxfF+WFhlbmnJQ5b5qOyjrollmh7Aq8NJ8qMUNQwYq
UsilDIRsVENH72u5/oO6FGrrZzWxIAIRgqgCOIb1s8nX0gSxrK7c49mGh7UK5tyVTXGpal2//PlU
AGieT0UxdNLwU/WrJH82VenLSsxFC1M54s0GbGRpYgNFPrQLfrYl/FRJf1/nC8ok0wAckMJCPAn8
mzq/tsvCQi3z/eCyZVuowPZimMmmAQZ05UNd6/NRF6gEpbf3TuZQUU9rXlxGWfFUXGcFrO7jkj4T
m89i/oQiHqxbQpkXn6+SfX35r1vbwt+PF53+/ebTTbR/v7r4coXtp5/aPdon+NI9/9DTar5+Fyzm
8+qemM13L/4AkP4EEX26EfcnD7/jR9/Rsu84EIND8FV3f6BHP2R2H/nR07jP9EiIE8hAqQCqDndJ
MENwbj7RI3AJJxwTaEdpyuFWlgJFf2ZIEsPNOSYBFxL1kS19BkoYbglRwgEoYbijpeGi1l8BShS6
kN+ctKcZ4YhpgSmRAq67kGcnrcFgL3iC+lrhrB/0hjjmoiZBbizXV5wPrr5nUeAd5BlLt7C0JzMv
ZkgtM/QuN4GZKLFkruVBF3wZ0lpHxp9Oum26i4a3LloA9czcveN1X802jYRoKprkUjL8KGe7DC+b
YpbNvVLcZQ9QYnpxhMDhHY1bXHawFOY4BOsCEtoJ8v6GA/KI7cTb9hwDtoAl522LlzPSUlN9iLoR
QnDyjUo/H/1vqRv0PL6TkUZP8A6uMeqna3MEPbmFb6xR4rYcClGox2yypvKnfcsadtqwsQvydO3y
vpyStXRwb65BWUmy7c+nf+YNmNBSUmD7jCoKmoLFfD//WlHVCSTK9xWuaV0mvQVKWUD+TyJfbcM8
5aFPQ9HnrIgjFq3OXE2MLh1JMFvFRA+9KAzwEWs9DfiouYKc8T/ICEPj5xshSVCYFpop8tR90ALu
6ny/SIP6Iqtmpx9QRbh4y2gYoxsias6jONA2J6fjpEYDsbJlgchYhqaTddysCHdJT80s76oJDdHN
fxLeR/V840yB/0KipMFoEJVMwY2u71eGkDdWlkW3A6yIim5D+Dwikg5wD2+wH7rVSCUS2+Vu6nTc
ZmuBRdzzvMftGRxkMMs8sbXrIeMnbDYVumoznuf2dPGT5/aYzVCWzlDqk7kjbzrvW59vQkWY8Zu2
GVbSJ8gi0UFVHjgqm3M6Y0vFlV5kLv22FmqM6GVmWuznizovRkhY6mEUJdYxqkB9p34VsmzTBrLx
YNKmGbkOiYxgWBHX7SThR95YRTzgv1qKt0SHYtjXH6U5FS2pOBSB8xK1m2kkURud2qfa/GjIAOLG
YHGDPNKu4fAFUUU85IxuXRHoDTmF1zKuu77Fa2y6oKGggfyhqYbYlpjCMoTvBcyP5hnUrasc/gVT
nUC+q1c+ZFvpR+r3EkW1IBunLEzZQtFKxwOaSAbZYzO3gOd3zeybqrmjdqg0PYoFiiu3rwSKyHjg
3RjgxC4lrdcJSOrSUZ8W9dDq8eVUzZKaNq6KXtksiYBXTaiNPQWPQq60105Om9wLxv0tX/S42luE
lhYEmeEaEXG0fTdZcVs6JFiewjkHX7Atgse4gkpQdeHDIonv1IGLeSJvMZ+XXh1ZO2Xu2mjAZWRT
mS5CTewQEnOfQItAebIxdgHdptNM1rDEKJqdHRMoFDFXELaXbDqvddd3axyaagKkFWkVomQuC9Tt
GGr66Z1Abb0UacYyB+iylaYNr433KhpiSBokSH9tw5PWvHE6F+eqLSU4BFM0AqA8gCQMmm8Zy0BB
i+kV/Ph0NJoSYtFbI5taoF3QQNpdPAYkWhyHLrcSlkHqmsRTHY36NvTBqhsHxLXZtiXPeVzk+XTD
l5JX6VJO2a5kIz0tEV33bZjH0yHk9qUMgiSz5sVRln2DEs/GcJvBoT5lObddDNZXvKuCa17nqLTp
rHHWxKqh/Q5rLJOJGH6mHHprazBHMzlxLqbSpZIVBWgXRWFbyZltKlsOl2vV9GgDJ7ffqAXRBk6s
aB8KN9wQzNxZYFF+1o5dv+Edm5OhY/npaAedFnpS19IVPqlLV74vO5+lTeHyeGHGpDzT/qBW0m6X
zGQhNo4z+Gq1mIRVAO0m+Mq9ipbiXZjtsCNLkb33um529YybNV50xbdFheyNY4KscZMj38URtfnd
NK/qvokMjzUd2ttJkXKDSI8OAEuKMrbAQM9Zz6Gb0XdwHaWS2TWKeNnHRU/1e9zmbISq0+GXI6mK
cusWE21w1/Yvu5H1+ydXkHbLPBxoFwCk83ZSSSZ1VqjX5Uj0sodYNzx0hFV4YwfXhyQv2wIgMlwh
e1Q9l20aZVE4tJpbnjLcV9fzSOuE89ae8a7HPslUYe9R1bnzWTJ01gn8dEIzXrqY5eN0mMMwXyBZ
j3vV2uhQ1rQgqQLv9x5PEzXAZRTUcT3kGm8m56dHH0VzQkq83nddZUmsMwcpxbp2cHKLBnhghIF9
pm4F4HUQQw58DWFXHhcswRG3bk5G4Fn0ABcXGncIsw9b4gZyxpt2jivKX/FpeUBDlh0ZBvMZu6FP
W+lRGedzO8qUL5ZumOzN0RUsvFncPG4rRIYeYM9Q13NdJ7LMuQP+R9n9OHgbA7c3OztPNCao7a9n
bOrrrlj6Oqn7Pr/zxeJfh9m1JPbzMENPJrgqrmB9NIYaI6vB8OZiTdispitNuqJJzDpW91Xr1jjK
UfsK7uz52LkRX2vL1N6RoJIhoOzASsPuOyXm82rFYYSijw0wadbH2QD4asmH/FyoCJpODa71fYig
X50q73wV86rzV2IS9RYcvRCJLld52mNbXDnb+g2dinBHrHG7cZjxrnKjuA80u5uqtbpbfbuqnXds
iSvf5o8LCGRX9HIYNhZY900fNM/iwPxyhuu8j1Exjnuha7fzUgMByAEt3EFjRr+js6O3Vcjsu3Ed
18cBDng6SksuWFbRHYJIkfrZ9zcttVHMJzOeR6Gr364A2ne0wRnwqGFlx2JBDGLZDB4JVaWKIGrX
4lQilkFFbKpdzYdw1y3A2qZqJAeMDN1WgnZvGpf5K20K6JQsjb5p27Ce5V3lAceBy40r0wK0YKg/
hIFNV6bLwm1Qij3QegTnQPwyHtnSgvF4Ol1i2g9nc5DTvpxmamM7KLPLALGlhRdPXSnwefs1Ctl5
lhXheiWquFPgt98Al+pvIeDnp2Bs8mLFEdR2qwDyD2TgvJwaTJO+1U2q1sVQOO/BbNc8sldAK4or
aDs5n2jXoG2YKv/G9QPL44yv63nQbDgDUFZDU7C1tzlddQs+u503VNbqFNs5T0a3sksFnctdMYTo
fZQRFdD5wtla6mRpZ0xUKgdgxeq85nSU/QbBZUXAj4122fkUufxKD7g5RkDOXjV9uIcxedz1JX7V
tZDBVNBZOc666kTMHS4P2jrydoiyYUqaAvo0yyiHu5KMo98VBNhQogssz1hmg9pq1Bp9aAvlUjt3
QH7GtphSpddWxtXa6zFuaWaONuoQPlsiL0HWAnhvOPd6nJotngOeoIfl20s6s+haGl26RMyhsJtC
u/Cyysux3YTGLsVZW9a2TKNg+LJbsgxH0B7uuvXlokwYit1T6oFS7Wf4nxQ1SM1OeX2ouYL2dYIl
ZC4Jb4dsvKiboeoSOuD8dpKAfhKLGnFu+inD6YQhRTzrBRf9K14WQHDAjwTXcwGJU26iPDsdeyGB
9MzIVLcrXTIyxsvskR4AduYe7RUrxmXnm8WEtBg7PtzoKK+hMUbyRoc4RFkOLCpier4paaSBohes
ubYLjtbdJOhSJUh6gs4nXc0mIcEjeSEbcKepBXidWrOWh4r00HDCsj4AA5276rJZIqFXCuI3aG5T
jEhbj3W8OMLby75nlerTRVSiIbEBPg72oNbOJwMG/r9heGiK87pwlYhb44CKrf3sTUzbZb0Rcqjq
U1Mybjf5xKeLuoTSOa3mcj6lOcMqFQoVMu5EFTA0YYOrYzdwuUCLcl5uRU/6Y8T1LJO2ylgXS1bT
kCxLLl5hF4X3o4bUhAa3kJ21GaabfCzIQKCrMRcRNJS7aOjEFMtCvFwiZiUkZoNayiYBT9rDByyK
yrl8ACfkldgUrnExzz2e9aZuAQkXG0cAy/ILHI1iuKuUabPTyisGfd/x7boW+V1euLe5dryKoUxo
b6ZJVpsM6PsOQfBA4CREuBFKrmfNQpojNDGH7VgEnTjvVhdLQZGL25a3NwAZRRoAccUA2ABahrFv
H/o8W7fSNk3sc2jEuBriSoLnbvLpCsGGXemuoDeShxDSclRPvQDo2QFLzsvpPbauvnbedGrTSZmf
Qxfc3gy+6/PNMOfAiYVpcxlH7az3ra18SoxvtrXP+I2pEXSc+8Ke1RmPLkg9szPixJjArQ6U1BrK
opSQbLw3gxx260ygGYQkBOEUQRcJmC4W9tjVCvrMLgCT1d2E5sTXeZUw0Y3Q/8BtBkShjcyw7wRs
brPYCN+sGfz/jox0jd9VUTGmAYwSmOpShyNEeQj+pQDQWVaQX8ASspcQdcrtILVIBuOKV1WZ47eC
o3kLHXO9s0i3W+lkdRVVKEB7UxSvkWnvmgpBJQWF21aSrHpjJ9LbmNP/x92ZNWeNbGv6F2mHptRw
2dI32BjbYIMLuMnAUKV5TmVK+vX9CFO94as+ELvPxYnoHTvKgScpp5VrvcNy1330bDm+ml1PLokc
lzJKi3r2X8neZdCZLU9+segU4bF3X1KWvNLGKb5UuRd+qmTmfKgcz7zWTusdRD90196arU9dWMMj
E9MWYPbSHm4DKT3yVoLjvgn9L37VUIitbbPf2os7PXc6sopjHRQFN1RDyXLdihZaZxqLRR1UvXUU
AqEpndSriSNJYBWluK37yX3O81xViVvzDklZh3mUVvzeFEqPPZGvvbhugtkND5TwukYIwfX9qgFK
/qOnasvTqvc8+xMXrxmT2IqMvrJUFRxUX1pXSILc90Hp5ycw/AoyAQnPvRBL+TzrqOd6oPI8dbN0
W2BJ4b2eRDTe9OvmoJbISGleL9PcP1euWgo4v5HEttD18kWplbPCoaROm3vh+V+1ifliXGp9bEvt
vUI7kUku12UjmQ+F/tP3Yi1PTZirGx8VDLUs6Yg61HKwxNEamjJL7U2LJzXV9cew10taTd50qG1r
sO9mEzqPiiovPklFDgfDavL6bEiqXhH9WnNchjwvSeViUk+EFlZ356EAstJZeqia1sYW/XHsdZsl
w9SziVI/b3L4TX3KdNAPcVOlZUWSNh73Mlanch0Kl5zaa+X2oZ3mtrp3O8dMB6oKWRHS4qCDKBid
OavXs2W7ZevfB7Mno6RyBijJ2g5Dq021FS2lPOHYrBb7tsq7oItTqu3F75N5y5tpTkMuXLEecod7
C+5accuvB0hQ2VQ3aySBdNJppgDr39QaGNNLlimb4/k0zv1QfMiyCt73YDgq8LQgdF47JnoZukCd
MnK19nrOZ6v5axqmRYtjXlVF0x7FsDrVo7RdK9Tn3ioL1R7G1bfs8k0JqMg6+FY3FbD/M9II1BvL
yPD/bKw4tJnHqWzXQ9zni/ggKHHzRwRvQfDJ6gPwA1XHwAyW68ilv0HGbFMJC+I4lTDncAu/Zr60
l+AcNtbGeRucKS4+zr3JrTxpI7NuFpWtLE3AFUE4Vk9zDqAQvVYklMsdog979dM5m+ahOm+F7bJa
XHllVz57EeRxcxC1mtf2xpsZ3pZgM3bdKQ3E5DXy0VOiL4Jj0A154b2y53lYO3nwCkWOQ+2QDae+
j0risaW6A8xVduvmVA1IYGIi5hqjxlKRfy5U2Kxrf8p97XpDkbZkI7Xxj1m7+EV97I3xuxjsoO3g
xkn9oqO06kDqRGkZ93Pi+EPsH8N18/zz6I7NUx/N9Xtr6yaVuB2AdOLPnJ2jE+TNV7utyLJmAY1c
HbtgivODHt02XJLNHdRbQMR5PZZq6l/FRabhQ4W+8oa5eN3Z0ksrN5hvS2ddGzi7Rl0rHdtnDxT5
sYwXE14PpHBh4rX96idLa6r2PCrbTdUS9QbCz9bV136zZUVo9RuJxiny54PytvVhKix0aJmx6iMZ
KBWiLHshzmPgq+Ygm2h5tja5wNU5mRmch6hCKHbATd9+Ge04HNEQakqDdrM01chYOvmRdGKcruZc
VPprhsIAxIWM2oXHrvLsBHarpXVqZieK38/uELeptP2uO/qrPV05Uxd+rHXtA1iG0s26FECxEFSo
4TrdNVFgzwfXFrP6MG1mzFicXjZ52jox/Gs7O+6N7wNu3SGA9JvEH8jDb5d+9pfEeFV4DKugRhoy
dcm0zSId+0jf9c06pO46T4eoRUkDE67y82ajQ9nCJbMSb4mGq6GvhzKdAcyet1KP7A0Zv50tu2Oc
yBcCp1/erCz2wY9lFB/LuTN/wmOTFFRln722CMPTJ4pLk78Ny2bcsy7PLa7IYIJXox+K4pkQ6aE0
1X750BlP3i6NlX3NRmdnSc22XCkpZ5CRbSuWpC9s8z5axPzGjHXOEIC2h8SETUc0DZs8WSoRPzjA
hyHaiM5cI4Lyi4PxsuIP4/lwC6Ka/KvWL8t0MKN4HGTWnZTb2h+CcXLQ+izbASHE9uh707YmfiRW
5GuuWxzcGZkkFUrbT0lc6FhfZ8HYEebbDWlTJlExRiauYeBHquG0b8PVPbm7hzGxPciGQ6Y9Tei1
GgkKgzoRhZOXTQNJQbtOtwhx5teZ6+joYIusD0+lqvt3ZgmVc1pVyygb5ESf/DGPsqQhAb8frD3j
nSI/gsC31hW9aSVjk7TVUOQHLnQ0OTVwyZutAQFItqDvg2Olt3I9eHZTHLdh4WcyRCXX2WI3/UF7
/V9mytujK6clNUqsH0Oihb5B3Dj2h3rQ0cMkRmhtZQkxUBAUoECN2916tXRvoryuwucYVrlJRkfG
N5aVu89wt9WrxeqnN14zlalTRO7noVVzi+42jNe0EFMJ3mz8YkV3spZTUo+Rksc5L6Ka+Dt69U3p
uKs4qcCIJzjIfrkDuapQu/hdsyZ13zgfkWRma9IgTL7rZDzZx9CIlaIgdkeuTGmL5tg4Zf6uEsto
Uu5Nsjry80PujUO0z1twbzwDDO25nbyL6sb7MKwj+gg91x+9qek+jKrrEtwpYI+KYxPFmWbL1+PH
zDJ2Rm61WAhNN+d2nLcmncBdPrXZbF2PJYf6MBZVeK9m1b1SYmhSKvLqNbhAeGVJO3oCMS5CtkEW
PPfuhkTOt6cHPa7udTV1yk1LHZk9W7ObaxG3QDzhNEVXk5e3wQHlCIlTU8TLuRWurh9g0IrDCLh1
GNnqfjqgcj2Svjg37drlaFmM8yGX6/IhlspJ+mm2D9kmqmMT1fIvKDH74AtfvY9I98+OL53nLtO7
aFauAu6diXM968PY+NHtMljFGUkepy6aP3dNp970s73KJFKd7XAOtjcxwmEyGgehAvfB2FJmTN4B
8vsGFM16bQZ3/KME7DhEC4XKgHB9S5bc6Z6sqPYfy9xDEeuD6l/3feuILilNXXnel3UG/R+PVQ8e
ND5zQSFfPcSRJ9fwAxVt1/QPoz91vrhH8jMQ5acoigdorAFONE+I6mUzwDWUvdfd++s6xchl3WWB
WPA6e1H5tT3nTbldR7Jc1XtZLEZ8Ea3fVVdlFzXKT6U/ov47RFr4ZiR4VXHwKWwaS12XsVME9kGr
wdlIGyOUiemIIN1erud1AcVMAljOk++3JvoUtK0iqAx9VS81cUzktjiQ57UNKOkaZNlxGPys09dL
RRpfnpYVfpRDA8Hvi2TVed/9ae9S9OkQAOuHGSJis1Z5jiQkqyDu+gy5tpuyBwdokKzMNnt4q71I
UcIU3oJk6KmLjNTlwWwiou5zA4SB5V1ZdohzD5NByO8c7d6b0TPO1aadNeG39MWams4nJUu2Picy
XEk4zjJOQaz3kfhBZiPVzrNFh8Mfs5VtrkgKGVV8DVdLGCw3lpoomG/KdZJ1kC52HIX6N9zmz9Qq
rGEIoQl1CDGHr8DeSfMfqVWgskjZyGr+bLp+JzR0IXrKHpRl4+RTnub+PKZK24vlpnlRQtH95gV+
Vo/sL4AVAD8bxipYQkihn1+gECtym6xAe/XyAg37hP3XVDGOijMCvKn+jVhmJ0L/TUf6oe3tShnI
9t35uxP4Pz9xyQvLzUfP+hpY485DZts3HrCOfMXI21GR51bClgrv1f8RJvyexd6fi6CEi1DYLgft
8rn9vHZhZ3nR12yFnQ9IvPp6+pD7lGaoR+CAivtW0rEIliHvXDf4zbCxp10Me19jCOLYF/g4wwt+
OBO6sOwl975aYR0OXiqMHYjPSA44kN1WhPVdAcbv3HrVsM6P1WTbqOaROdVMyq8n4uclZwGEy4LT
ugPAjdnwLhZABYVdrlUrv8h4a8V47oa+kevRks0eZNZo3IPMrx/5z8HT4AhPscA6Yu/emZ/XPA9z
WZerPX71A4Me4rQ6weZUJzEayKhjEUnouHFm1lE4BpyZT2j69RgfddHZvfnNRnAuNB9MQGzvJmdo
Hg/hSXTxNlm8lSLulfWcFyM10hXRdJcONEuX0x1pNqWPrLBoQM77ZEFJx1uJws7nx6YPEDK3Fkj0
Y4xenuIcBnx0HxpdtNPzr+dsP3k/nhNsqMQD2xdOiNrFCy5Dg5Eg0sO2PC8QkGwCe65sJsuGcYGa
XkaPGrB3q52uBmbt9g8FBp3/dLLoUIXK1LODGHUb+uOL14DJndQ6Bd1zWwsLtUuJzgMSWq82dfSN
JwUKGcrlsfrclALlHYl7MzriKrJKC7B0yNGl7BqZNeen2mKr9Q1ac9iW3wkwLveYs09SiMUsclnh
f2jGFg//Eu4l73mSbgDXv9dr9QyjoIq+Tc2wDrycFTaarwH6Nt16iKpttR5N38vrKYaGztJmo7q4
adCPKZm0MSJ/lVIXWvVD0MQZaZPrxQu3lWuVq9NinYhrfmsF2QAI8uv1v1CUEKkCyqwgDmz8yAH9
Xy4iBjuzHXSr+08hNCRMdm/D6A8JtQY5Z+ps4a5/IJ/YVRQ1eBxfm7+Fkx5dOl9ajPKC4TQb7/cH
2r+M4lyyyLYEen4uDQLJxbaAEZyoErr+Uz9yimDOQDX9W9fJvfXGm+aV6YgB07anhmxgDZM5H82Q
pwR8EzxkwyatKzK0cnsadyj6LiqCXUq1+Lqp43M1i315uglIC7x9h7ce+rGstqetDip4Hbuud3lP
weyzQF0b53zSQ9W3PWHjWFg7T5AWSUpJO1PRoQebmE6g7vvaVaDASLGGb4+Powy9dxJ1S8mv6NBu
8OaF1e4qKtWLpvq8TEE79KdYj46m5uo29XocK/jwum5Gl0w5k81ylfnIkD62USv9J0p6h00WYhoo
/9KobxBz/XpvXIZwZj8E3iJlwHMjvEuxEVlkmzlwX582B8UpuLaL4nlKTFd29bU3D4ZA8esnXkYj
NyQWuRCz6Pe4uy+fOI32lJvGMx89inM2o5n9Pfy5aJjYfoEe0DxBXoKXwMnM2DNuwxeJxq9fYzeV
/hQVEdgGZCTobV3b9f8htd086AP4neap8dtGeYnqZmH9Cdg0EI1ySl3nOMqwK97oKcqIOH0uuuyY
RcrVXYKj1NRARG423NQyCh4Xb6yjNZmME+gHFVkoSgexLd0NmwgsvIRK3Rl9GTj7YSfz1Q+dxufh
XcuyUvvJ11hj72nbEPYr9qbRW/T51yN2LuIaMusIde8+akbroZ78+e6sAom0fJjC93pubeR+kBou
cj+97fvWJ8nyr3LHwNSALMQ7FpupbxpAi+JhPxVzic7oUS7BvqXdoUAzc1X0lEiEyGGDQjwNte5J
vTexIrw9yN2cCUe/Rg2nM3QGjtGvh+T+rJVDJi0ihHLI4AQr6Dj2RdI5oFfacDG57yOVe5wt1Wf7
CyjLm/ej++0c0ztm5d1kvuxHnFi5h5SxR/z72codBI8ORiE+1Q3VVH2u4zL0r+CM93kYVtiBOzks
fFeRe/sQ16wJplNlhaN36qNRe1O6cl8w3N8M7eeEfh9a7NCIy+Go2ALH9MXQFARLWM+4fT1qUqZf
jQNba6u3ovui7KiCB1hVh+0xdNv9fmyszmFBlqCps/W4NQEOglPsWbN5T5Y6Mh0wZx67DwMj0aQt
rJgt5pu636PbTNi8KlzKAvBEMhIeWChp8y/UqA5TgVSGqVAqBG5NBRwtRyKP3ZJ/vczPHgqrz7+e
hIszGpEukF2FLhJxmiz+I9V1zOYHazBY73QTdkSHl/QWx8aiqxQNLvXOby5/9+I62h/peyT2NtcS
OrVLiapddqSQ/RLi13TYIVAYig3F3c/8+GXvd+IojQWbngS1h/rtqtayJWUh6DFLZlxqzH7BRDEN
/+FHBAMOpH6AIue7gPs4+Gppuai+L1s2mJapXOqo5axwivblyKplXwjA/r2gjdcSeZ4N6MCbCFiB
7akKYF5/p87144t8lsHvlwBBwsGh/8+KinRwQjADLwyQHuAMV3PlYewxtizvUF5hVjkO+Rj0URK7
blzmyTgOxfDKrmdvEUlPtmPdjFlj+bfgtaEH7IhC4gtiJfvKyNkPDlXYdvVXv6y38aHpgoaWrRBY
5t7XGMG2Q1S2sehRuHn+NJ+MESC345DLpUuCxm6c1549OvEBCD920nJRM56mDuR2KxPc6xiF0gz7
JIdBb6PBUbBYosS+hK9y9h+DWq0+1NXizGY+97HJHUn+JjOA9hxZZZ2GW222DQEwW7EHhliBLeGg
yuCksctDOjZ4Ut6ZoHOLp9mvM9gIX7lOulKfdiueYDXFh7hwTZVm8BFXlMnqMHS2wX4ft7Z9doyT
u6fMmqLcPvZV1/jvV6GzynofA8Us7xa0serWmlRrPXBjhPNXMQbB+H4LddZ2yJM6J5/exstWV2dZ
oAM/bQiami6Jq85z8zSETxuiZ6eBSP+au+gklwNbZR3+jGdlDBxrbSanBGZuBxEdqANEHZxlAzl5
h1bQqqozFBvscP5nHrWeYpYXx8M0cbt5nWZLo5Ka+vwtrVVUYB/b1u/78HqOZZHXr1uxVAh2S50p
o18bgX2/OEnknbN4kC3cy/XObmbRib0SeMgQ9LbzTfUUFTiFMssPQK1yOQLaXptssvLibIqG2wY6
HI5mPei+mMWHzpohiK7ZHAZHqgFpRYk992RdcaJWL1qC+9oNQz6ol09aRVHzNZt2EDwO3sYfnrd5
iF39qgxGGMYrZ7GsMEzXUlRzeEaZ7GCfFr7e70XUuwXDyTzBpfJ5kStdZdJS5LHI7lfTmz58U0oL
rO4UVp7l9tfVvMaRvg/QyhVxMuAtJXCFoxJ59RRmUlob7EU9MVPWOhCyb4naQy5uLE+OYf3awRvj
1G/K0kAsHNHkmik7/i0R9tz9lVYNcuke6VGxFsPBRrMwRodWIWxsP7gZbNMA8lnHEC9ZNAzpSB3M
zLrRXHCDpPBU+y/h/UlZkoEeABTpfj4x+hQTeusFpzI3+4x5tar40E25sh7bJtxDvq9VFoVpbFTH
Btjg64KzimlHECf9y1Bz5JZM31DukBF3yYTLOqlzhyKTJgP78ji9n7viD6de9nlu/bgEvLNma2Qp
rBZJlv8napGYimMsCjKt1ETOGg5pEeVitlhBfx7mJ1W2c9EyX1a+dWivNt9ZbqMy3F+5YKV7xDHs
LJ7g8aXhWVq4wtUhGK195WE5+VwdI11UB63pCYgYQEWD4R00zX8Y4/fxjKPnDc9YE3I+J9AeB4+V
8LGjp76JAYCSPkTnbh+/7x65TTv6GpbWPjgo8G+TMbNrxvR7jhsLzNz8y5tEdevZxWg9fp9q6+Xb
/57kl+8DKXCr29BFQhamTotq47nCjF+M56L1VgY9uBudstFbwPzYjxTgWRcn4mWhug1wFqRUrWiJ
r2HQVkBZp0IDFdzH+NiZJe02Nd+CW9jhrYA5pI6Tyl73pDfD+s0nAVvtAbrj2wx2PSeIuPYyptwt
qNHSvmsD41wBVu/Vuf2ytC/bA4VmzfwEMCh8EGG9D36hvwb7NHOg90gk/Dzgk2uHmip/v1kF4iF0
3Lm3T+/LRtrmdeYtGeT+W5xihBqkNgvpVQDPm++v/jKh1oaHdqRfr9f5WGRt0VblNZBsuPTnbEe0
7KMpYO706xeRfT8Z1rfQSNOfnSBr2T5IK5p98KMm2b2fcGnsv9DV+wdfZxEf6tbej0Ozif392znI
cvN+rrM6K05thhHhEaujQ2OPalpDR914L3ulKKdYhefvU44GY+R1lhc1PjdAx8PLvqi457WDgtF+
T+ZWRvrQD5Zqi9SeMsnDRZmjUkCp0oNt1gAGQDYvevSwg97CkcH9yueqdQ7K6FSRLC7rK9q51Et3
pfzOpg1AHfs1fTDklAEbIhSf+f4c3QYfSBpFfdcMM/9dcUUEn4RtHKCiAddTfafRXgAKGBrC8JM5
iP1T0MqFKkCu27730ZcEO37vwXigRB/zeo6OdcMV2xwXq4Wzgtrhqlo+ovIviTd4LrqquvpuvIEM
zMfyNOc19e6X1Z/oDHnVlznTcfa+nZmho28Gy44wU9L2I486o96jIM1NcIV8Zx/6EmcTU+Qhl6sY
UZWZSRyDzd6F/Aoyja85S7/vGvCqfYu/4KfRVBl+2pndfbyqKFw+jGxwvn8ogEKtpKg3cOXYd6s2
xoRerEFz60HG8R0BSg02tRbzBKL2ArJsjqgxb8wtFg73OpPDxu+gL8YOvUnKclDDQfgVeCkuCkrf
pqF2alNVA0yIG3jQ/Twp3xTYlbIqUoRKL5DwdXe0XYiZZmq9ffLmwtuhAneOaGTzpqzhCCGe1ppR
fjSkZ9J6ZeQ0jsVd7JU7SIk9hPATVtILECYAY63yuMgSFf4pML2opwPQhRP46OMpcD/5GY2bkAJx
V7P4m+VvjAp9235tNELuc446wmHzvcxkqRBm3XkFnn/9Cr6lkeHbapuN9TiSTIMqbEh5gk/EW/aX
ZfqNGSh9ex8DJg06v5woL3eUqkY3smMBcdOZ/lMQr/ngPPtLHdR3AT7cFc2YixbD+gt5cLlISKTY
q0Uy1eDfVhrVTjg+gUiaSr2zs6HMMvwcq5cvDyYktxm+xrrQA3YjiUEFDweGoSZOLXebqqfNn12/
S2ZuB3Q1ynE6csowFOh1Z3Z5U8a09OCTKHOS0ODhWw7fR/KylkOP2lug9qdtB8P65un5bjqKUViy
68j+98NbTM3+HWhHmTNZfnMOCce2+A4kbvs3Sg90ojlSue/cRlHLnqOckS3Kuw2LeX9EyLbTfbzV
/pXvW/a7mUiE+5de8PA9nFpZOi70hAkTxx3t6M2ch5npEmO3oOf+usnYvTZDu5/yzNp2OHDCUccH
fPJEC6w37G/fhn+4A7fc35yOSfwoTbf2B4kx5kqDMGWxXyq2tihpGoUcHJHG2+olYKHz3X/zEDk7
GI3RegchpzEYff/QZM3QyQTZNyIlmlTsTJYy+B31q8LN9jQu9xeeEep6f63524Gzuop7BOH2N7dO
7+6GzAOKqH1PhnJzqyIR+QTbeMzLejdUvUwIOPAe9Koo2F1Y/uRY5U3uenUY/Qb4uijowXKID+xg
dBBwdf+AlXMFhwBe7T7mXRfw1mGWLZwG0xFmB8vfT1D9wpnpYtjf/de19I6j/sAC7I+HnkOb+dL/
+xJnxUbSWWYKgapeQmMJBrzPP+xOTVvVXxFkF0ATp8nGCMGzgKz4b7CX9T/YPE1UDYhinPbvPWJX
S9elQy99/54Wb/uOj4N8X9S5KFnhDrki5+R7cPz1u/wMIQgb1zf/h5MMQo+2qJ7787tI7bnAt2X2
uDOnwaeCrmqEaDQFoXfcOlLn383zPx+IRRLgIIjoUsdaX4DtVT7aTt3Y8uFFaJdV3PjX4Tc74feT
/esBOjts9++F3UcIdmuLECOB60BHXTxwqUs/a1UdPHyPGAZdPEdpRawuxGnxpwgHTi+38e1s0K8f
mrnd4/k3W6lF3wsuot+80c87nTeilIpiLi/cKHDzl7TYGtuWCVdveKhfDpUhr+OMLzPak+FURLpg
CSCkV05m7HE5kFpY+f4iiBSGeUv1QGV/ErhWBFc5oWXFHtkPfDvApHTuitWjnkzNC5/Vv4TZXw/i
chlZON/2bJoUAsk60SXLyr07KHex9F0+VXtk2r4lQv0k2vntakWzT+PuX52Z/9vzhM1C7v8LguAC
nA0XshE3sue779feQq+MMrE7ImuHl7DI/iNoTdhA/g6tmzkY+IzpeX5Bu3jYKZxWFyXXzW41JUne
VyOsas5FOw17HP/1AH+OP+CzMfSTzwnEue+DaF7gmYhFl2JEfHMVttZYiRQFSeh9CkYOzO+O4D8f
xdIhQqCRO5V+eDm2RrrNOmdBdvWSitB3ZSc1F3fYheDfRvUfdXP4r5ow/NiD4b/V8uF/rpvDT11q
f+zm4CA++GH9/9HO4X/BkHUte/LfDURffuR7JwfHpocr2wDMJYSK4KL4u5MDf8nI/xf6huAlpMGM
ErL/bgca/ovNagP689cQ9q/wDtjGv7UHpcsDZmvUqB7hnuDznzRzAKy8CKpxROnoxLALNu/zj6Da
DOE0LVVgwBd6qIAAvSM99dokEkFn39CXKIKwK4dQbfO5ooBu7D+wBSMfqtq+md65ja+2MSFEAtTU
I+5cU6ahhv6LHosAWWUAG1y2hTOnvVnwSfiQzg3a5Hi9Ki1jLNSuXM+Nvkas3EwaSSMyQtXftvVK
0zatiwhlZtS3r+lVtbzqrEbb12URrLerL+W70ht66ufggzV1+mw6He64J9gkfa5e01qmODflMjuJ
EJX7Lg+KrU2LnNw8iRuDhg1aIz5SFQ/mUI9bBvhaB8vDhtb8s9276ItpuapvETKgwXdzZWa8NHNB
XyEvs+tzu2gaiGn4sIOIu+I6aLIhvItjpct0Wm3AdMtCXxj0qzqrsdIzDYUAX/PGr656OZpTuY3h
hkK35RejXpVL2mip710h24/KrM6DoQuDPneqBC+cJp0lGf6kJZ2ydUumqhkPpRj0B8q89UluXRik
Yzb0y/XSkX+hjQY4hImzZ/cDWpIBpNKpz5MbjDitKn2kd+TgJJMzvjbArbtPGts7bEHeJ0VlxHUg
p/CJrlzLa1eZeDoXJWjIKad4qBPNVj/APa322yGojq6y2ubsqVqmAb2nsN+VKiTZL0srFRq3bILU
ZewO9ozADfNPc0XWm9NXStMiyTXGHI0qu5SWDzo7ra6ymeis70XqTLX5K5SF/XkjnzlVgtN4qmQx
Hknh18/N3kT3BConznO39I9OO+Y34MD1h44+CImEVTZpb2UK8iLP7IM7hvfUnSM9pnJ5xNwH2IbS
zWHTOIujj1lGG6RV4yHKwzG+X8SAE1WOczoj2HuVx3IJk85rKiB2D2evyOf6q11a3TWJl3utGmzQ
tHSRnzgNmGyBV+Nn2dAxK6Hnkq7OmRrcd5K+R9dmbGjhWCNXTeJWTo8Icr/YRlgHTevPAzIW5Lac
gOK6CxHIUxstOk6zIHJeN0Htv6pyEX0k5XDPesoDmYhpc5yD0HTymdzG8g6THN5hPR/vhsjenmvV
yAOg0vo0F31zJTdaR6SWZcdl0ltIU3VvTfdrt7R3gwCPhSEuyyJx9d7UD5HCwcll9z7IaJtorLi9
xhuZ/aGG3SeNqLd+qPzeTacN1y5Gs7Pq6I0xhtKfQZYr+63IhzldwfvjU9f6LsIBelDKm2+Whpn2
n/djI2NKFLv+s3Wq9XqIURQte06glzVOWqm+lHbhH8C/TCowtF3tkG/a+e7nxax/ADqItK2yeDnE
2g3H6jB49Nqo4bGHvJ+DN2bC6chjwRzmdfx/uBX/P+5x9F/eioKGyb+6FX/8s23/vhhffurvi5Hb
D0rFF9xuLtI6wS/83iCbv03zLy4/0kPf/iafgA3/fjHyN1JsB2Hc/tcEONtkdv++GGmMBPPv8+eD
Xq5N5z+5GS+0RBhSaJzjAnhQTtnQ03sW8GNtpyCC+mGel7vWeMjqDBp1zj6we1qFRr8NLLG+Khfd
VkfbrtRH1fn6feVPCxhC3A5//DB7b16KnB/7CTmXlca3LD3ekzyY2gju/ue38du1r+J81nd0EXPu
6KPdymQOO6x2tKQDBdfGnz+GHOQiGZtIDSmFNRccIH3oA3WH7ddYKfue35FjOalr5z3FSOSc10DI
Px04guX06zd2L3LTff52lpXiEDTEJr24eOMC0yAglrqDBcuyQwCX9177VO8nRRtpgRxucUp6L+NO
28IA08Ja2d65QSHvYNbs1Nd8mSYnLaxeHDCJd+BSTW6DP42iAh7vyvxNNeP5xno0Hag24qcpH27g
/WioSxeo4LYYc92cfz2qfy4D4l87ZCEC9gaU/c+DClcLaxEi2DvEbvFTl0WOm9B8ka3Rt/Pyxixj
/NhLp/7w68de1kwYhCljQv44EHuR/+yv9QPOgA018/spa+/aaHPuYDXmO1rrwBPJ/OnXT9qLkx9r
7P1JMaKAHSOAF48u9lnPrboNXIx3NFLxP0Nr0/tXqmh1aQ6dH+0BwD317DXqUmg/0/xu01yW+IwS
kZKgcRV/b5LocPF4iqoCqQO9FMKhEsgjZ/G54i+11WeotumINaejgTBLf/7f7J3JcuNWuq1f5cSd
w4GNHoM7IcCeVEMppVROEHI26NuNbuPpzweVq8pO13FF3ek9EZ44UhJJAAT+Zq1vTUULHbnNa/c7
3j62pL6yLrNjdnpgThm++wz2zSezQ7UTJp5S3xttbEJdAwgQUKxZ3QEy4DL8m9ZP/PlE0UBz26D1
Q86BSv2PJ0p3Bruy7Ui7iiEq39Nuhe4KLe8rC40OCrQTWNX8VxYrUFCWlgE0cvs0wCDk/ujdZakD
lcQu5ohs/J4ytvw22k3i/hsqP3OJn08yyg8uojWkkIU99f8f36XTeanODsK8UtE1ke+FvZ8s+3Un
7+/6cRgYmrb641gqe0DZnYDEFxWFY9fsi/VRnxdteWtgtc0Q16f4dcrK+kiF028aCqZPECy8MGKq
GgwfdQQ+RmqKKJPV3bQWGu1acsSxoPrAi0clAia6PEA6KG5GFj/EkCvmTTG47V1PFdN/1DPOWtqI
VBncG6xhWTb65GWXYi2DqG+tU7KWRstHlTTpCf4Srvn0CLmZOmpaSyqxFldLNn9tJJSQgZEuI+Sy
d3eRbIcjinbjuUUThtrA1ajXliSPfvU/qri0arUvw1raNY3EvAPq5Chav/iWjo3D934tB9OPynBc
i0SA7pQ7a+EoSJW6bycYGrhJ2p34qDALxlugNCYW1sG4FqGlNClHG/8+iVCkhIze+wOPGmMKWLzR
jfVu8Xku9eRsdH7zZOMV3Q9+phlUTOXy7jl1t5X6nC27MffinYYI7x1Zw/QDOBn18/JRS1cfdfW8
ltjmWmyrj7q7W0vwojfLQ8WPMqhcK3Rqc6r17KNyd6MJ6NpHPQ+XOQrMjyq/o96P15HW47Q2AelH
P5B99AbmR58wm+58cbD2FRGDuLYvyw2cBDAU3xJYk8byJidwn9j6/I5bef3VUGXWmx0u42Fo9Ls+
76F9YRttlz1gsz6CEJUiKcyMon7SUfAeM2WS3YCwYY10gHgxc7qgjoRVFPE87Avm7ls0r7EeAD8W
0X1C2AHMn1y5UxKqufD7iyN7kytqimohp2DgWbhztCSL7ke+Ok4ctJD0ueBMJLu7qkg7AK8tDy8W
R3ADAi1ig4xTJ6IJAQMXsWVM/GGKdnCpi3IrI6qCnV3F5RJ4i80dszJgCQdl0mm0TlLF8gGfKvP5
Ok69H9owuqke6rXRg8XyQOvbVKzRqTLd3rWzoJplu6iDpDXrwEjEicuKRY4LwNZOVulOFU6pDrqU
ZRPYBta8wEXnV4CJbwEtc1qNV60pFxEysMppUPJS1+4BF2hwigg4eM3K0i+PZuf3xTZneH9bht4E
e4PJVZyTKZEwdt2E9ncfdWNTPfEwNk94jox8NzS8g23dF/Gy9cS8YBXKVDNdSw+y1Vbjq9LBTBPD
qYNlWYRxBE45dJnG0WK6kvqkglS4fMf+5TuQDXqoD0jNkvYoqPgPeGxyJwAr1pphWqdRuAxRjl9t
6hofLQqmg8BkgbBgEcwW7axHhbUTTQTbxyXpotkKBPT1MUnFFG9z30poCfi5jfAxFnL5xAxW5ynF
jg1JQPvS4aRTbD35Hhl3YkF3n4JAtjTzWRXoc++chlAOQiTa/moPFY+kGCEvv+Bjbzd3CINE9YbE
q0pOLWKJeScne0nPaBP7Zysz7Hd7jrAqe4KLlyUpBLqtdBZmCViHM0h9JqLMANPWNkUY81ZME5VF
Fmfjk7Sd6Vck4ybMgimOth5OH+gpXsTfsYsaaRRRFOIOKoRpPcreFs+ix/u/meAue0GPoGTesobP
0kMHXAPIjRtL4z7VXB+mdbtenFnWyr1byASSvLJ6L9DbdTiSTBVvrMbTIc48wfwXVLdc3SV3yS70
hD/T9ko/Mh6yDt7VzfAq3zrOVjYN137u1+KT5IcHO9eceVtPJS9d18uCbd8o+2Wv5+764de3PnF/
4n1h+byz7IpPMbRsUTdJXudL4OdAtoOmiPP0sUI3BM5koCqI+TfuqUZfJfetsBQuRLNJdE43ysTh
WmoJ4u5UH1oAHuxwzK1i97neNPgyBXwibiDgC9Y6ua/KF4AG/olpfeptkN7kXBdsLd+nCnc+tpFM
3cx+1uU5pszNmIkxQ37yeFrsZaWLu9aP2zeU4OQlsJZLjVPtxf5wRuqPm1R1bgt2hCXBHgAwejmg
OuprXsAenweJ4brFtpO/TsyO5AGQSfkDacF6D0nbIgnpAzxzm+IEkbsGO8WrpkflrpyamK2axW1O
dVNyS+ERnqFFZHZoG53BzrOwLZeAD8N/6bCUxFviAviaLFpk+kerqkX7veSGDJhacEltYVBxjWQ2
6IMdMIRxy0Nmas+iGwyHOIqC4I0iMUed0rvNvnQ+gD9NUaafFr/vxDeAc0qCXhXuCM/K4E/N4PDB
lE1Mpo8Np2UKNKyUSPjGsb/OysXmP8oWbbk8WCV2w8MyrfhBSDFy2TdFXtfXypmti9brFvyltirH
c4wGLQk8W5bJM5WI/KZDloRB6KZyJDVHTowJp9Ej5gVMxlMBeif9LGrSbMbNQgWmPjW9qfn8MdBc
THdwsJ60qJl+ZSykjeh+pJOTAaOLx5l5wbLvBqyVMLDXaV9q9Jn5MOfFYt+VTrMidJpRd66WYDkb
KKobuZ0g/gDL9CqQ9FiAS+4dUhZbMZtzF44FqCziMlqu/tyaYzdUkSIQB/q8075iahbPWcIYhK9D
6r9wrZfyofKZhuwGxEooH8oE9NA8vCFtQyK2yfPR/WTD2JnCCeqoBQStQIDbRlhyeLhzRW+b1ORs
0jgwvkvNPq8vbtck5gO8qMI5ojP1+VzzrMXXvNOaKSwl4I0N1djQX4si4v13aEl2MvHyBCClrh9V
a/G9V47jkh0VJe71o/H4j/YL/z9OUgymGX85SrnWVf/+xwXDb7/z90GKbv2iG+baadPmUnj8fsPg
sHzwdR2d6mqaNf65YbBYS9AU69yX1m09VOd/DFLWnGYHVT47ZN222aX/R4MUaw03/0NPaTs6vRz/
mdg4IRf81DQ3bJ+NKFLJvdsgvQsKeLJgyFBGBjbDY3Vw69ysdgNcO6aOqdlcY6PQggLe+DfEKkuN
gKA0mgC8Vzsfk6UtAQOx3/+6dIa/LavUszZW2agLvoaueE0Xq73UuJi+ZWY8+xsx5POw0fEMqrDU
xtHcp5pTf3JR+BtHCf5tPM1m2k3XDqb+FuoR0QkAthSiMie/opyyApq5foOQ8qIPquGbQW0YiKxa
YA6q7ss4GGwHjKQ4WuNMgI/KPPEdecJAhQiZbOfTpRto6Ss7AVmVpNdihGFBLAmggG7ojmNdZs2G
UJ/5cWy1vZENRlgb/utUzaD2NIa3DMYZzm6UWrLX2ZYN0DizCTGeXxJ86d1hZToy/51ygNzhUBcZ
on3X7GySPyqqXGIpOknMQJQvYsOZ5yjryyAeUlAkJwxlVKNsbZzzhK3yK0dEnVnlZxAMoUssR7YL
UrPObofifIWhbBprcpAYdh6T860xG9O1zqwitYqDS0AKyMSdQzLQKIIJ8GpvHrJ0TuqWrUXejIN7
Ji4MVfvCaB+jHJFh0K+yBExTTHkyHkUJbmskpQXErNNvZoHJMj/GHrLlJgSpY72hcxA3Caz0oWgR
an7zK7fJfviZkD8oyI3JvDMqaZfiyS0jsXP61AUdC5jD/dxMKHFIKfIRbZPhcHKqgSKBkXGUBAqj
xxE1bWUC+csfacNYMaRlRxGTT/dS4YHS05R1RjHndcgwLkY6JcTJy3J4dLG+7BYoW/u8Tu5ZpM2Y
IQYQJQB2jDCFrVwFRdvHJ492DswTEwrqWmTPB3K9xn6LvwKe1qx3O0JR5HttNMVXA9SASSSDdOwN
QjLIp14Eiinus86Eq+yLk6Td2lhmXJBAkWbiYFXDF/BRY78Kh+0HjSNokybRxF/iDuBqnFmUDrOt
7elxqtDl5a6EsdGnLmJ+rOpe7JMp97J7S0Tupmw9llK5oednEkUoYSZDjrg/YTeNk27f4ZnJjM3c
Fxbc0Gw5gaTSN0umE5MzJO+8R55a+Bh2KEXvnEQSk4Ir4oJBD//4nEdfki5hH1AukJ4y09rmbV6d
BuE2nzK53NmVaz+uV/Y9nAOd4Z5ZbZ1WXJcMnF+SNn3gmY298/BkdRyBRv9RC6Xf1wwGP0MxWM4g
IaZLPebFQRb06Cp14n2WsYGJUhltopbyAe+C3DcO87rY0sA3YLK5eLn7AvD7vjKzFlp25FxgI9hk
Q7TaIcvk9Gq39YTHDdPKBS2r8VbaimSuQS01vWShmzfHsAbivKT5Q3O9pAx6jsYuX7L+OPTFV9b4
ftClkfRQgasW8fHoWE+NOc1JYLhj/dXyVPyMkyMG95d39q99Waf7ypf4sJZGO5KiZgRkjKAiGcbi
iB2+PuUz6BEvy2AFjvQCJprcA7YDTFBNNXqbAeHpDjS54EIfevoRhsjPpALlQcHxeWZc/chlXd88
Q10wirCuAzdzYDqC9cUzW/cE7wh1Pxpa79vsVMmDX3jpYYzq6htNqw8LDc02hhhm+XD3LIAmujhG
Tnbry847KnP1ZXB1PwmtbsqNmJRB4JOJnaFfPnl6JujHbciBrtumd0BVuLMPuvmlLmIkx8mghfMk
rCycMf6/2ZB4QlM0y62e/TSw3G56pfAjMcTM6qtRNHB4Rnf+qs3VSMdj9j/ifNKC3G6XbV0Ac5+h
7X02qqW8X0Tq34+ztzyoyq53ooj7B6PrmnME9+XJFd2SB4T+5BixoLxvJbKed68ZutCah/qWwSHr
McMlZpCg6tpYNHk/gMrph2qs3DfT6BdmTVxaSD+JTkp6NTLIQTeN0JQ7vzd12sb1RudqtEsc8I00
yeURxqcY8vjZm+zkVKPqf2gF2MK+1UeOrJ+o76nq+idMNJCbWoPRjdRVQcshJFFn6+JeCBJxlk6p
IUBv+L0sU5P6k92AaUPzmbMmCzSz7S5LVU+Phattifryr+1o2OnGVWkSHU1Hy6+JLtoQBWz2pZCj
8ZzJorm6jaeekEZL0sycxL8BDe0Po0e+Wj1HKflZkTUFY5Lq90wI8tfSr9vXGBrqQzUU0UvDwvY8
zO1MS+ktnwTr6i2tWrZX3ajQUvfthjQcmYQWn5bdX2/o/bEqFuCOsTt8wnBGXGFqySrUiPGCmkZT
0GItfWjJrDQxDUf1qZo0qw/KfFJnbMyQ89JOGFuvtkyOYz99tmbXxiqQOHtwLWQtZW20nEQqnK8G
fx+3fVSlD3FPq+Jkuv+qFlsedGvhQe9hIS02Mpbpjig65+KSC/scuWMXbzRMSxBzI5aSoTfNFxjP
3U421vCbWe9/i+Nn1Xz/v//nf1wzGrimqSb/IS/7k/rm7vv0X29QhH8vv/ntl36rjglF8WwEZa5n
CQCIUIj+sWZ0/V9cB0s0PuG/1cDU4X9fM9qsGdlJcttyWUMASfhndaz/QhizuZpWEbZD+rL/kzXj
TwsDoCIOWjH2luvCEd3qT1syMTrtqOtxfQTVifA9r2L73uym5g6Hnhf+7tD8iyXiqo/83W7n47VQ
K5Iv6xET9LE6/f0WaZSsP1AhV0fXnBgYjUrcZYPpvyiOwIVcUX/716/305phfT2WlRi5187jz9CQ
TiNBpvF0Xq8ED4rqGmjKJpvZYPWzZR5ZoRFdZ86ewGmYGs9//eI/berWF0f757BQ5OytFJk/7jha
TZdzjTOCO2Lff0O3BL+mEKN3UWKZb3O0+Ex99H/3kf/FIbY5WmyvmFj+OW25l5Rnk+eSuFqK+SEv
kv4bASbMEPy0mx9iXf3HL+gILlJeDsQAUb72+oZ+txlkijtjY+z8Q6JF9dllbB2qpKct8kztCwYn
5+2vD+vPi2iLLxDdpIfel8mxTzv3xxdUUuhLHK2RDfXc5tQXEdPEZeExhXIMwEAAN1AAW6usVQss
bu1oVy8sGNwpSFgKVCvT3b31yjBWMZU9wKJvEnkRsz9/Vob3b64CdPc/X/SuTR/Bd9/ibPJl/+n9
VsSmxVnZDwfWYLH1rJWoq84yLnQ8WfWaJtvGYjqBs1cF4pl1fMp3UN00KHAHsl8c55RK4AXEuzF0
NJHtbxJnZSGBTIF5sHjijvyNMjmNusEA6GMUWxqggUEU28zcB0OSa611KQNZZSzerrFncQcqTuu2
A1F/Z/KO5pvonfkhYotUbBZ23/av3mg2CgvfMo8MfFumjkzQ5weHu4QToivO/UOmj9prViBKurUY
UrjkogxMwMaVLKnrjUEojfjOVTozkRLUePO1t/zRepwrNV0qPWFPQPIpWBrfIl3v40bAtozv6TzK
+UEjPPXBz1sCBGbq5bchM8jZ7nTz6GCLYkA6js2bV5rjA4sHyDR+u3D7IhcVWqTo7HdAPPONxS1T
bDRtzZuZ9PNNI/342e4HL2S4zkTcZ4Z1rJQ/vzkQ8YaASQS9Gsl0822wOj4pObjUgYXkBZn2RS8G
PFy2ZdRI78XAcfSWkePWWeJ58DlpTNj8lwnj0bvD0PmWxtLf4payzR1x2sy1/Zmx8EZidrv97VpN
sphBcGKmzKzTfJbfiqxGQWHZfFhDgXjYywkiC2g/8GsnHyFaecRs05Y9vDffG7Y9kSSvCaDhF6/h
fhpS7zP/LIlig5ZVOdZ7Lb3mLYnhacY0nhdfdeuAD7LwxmJUmAGgaLTAgsx/7oDsYeFs6vlhYMww
haODkyPg2928zTNLmuBvM+8RcBBJrokwoehmjECnZv2sE9xCisyaacB6/K25txkTeBZ0XRdspqcl
MmjB89x9/Az4zSoolZ5x31iSg8ZnfUzcfgyn2Pd3zD65gGnagarjjG0OJGxE0VlIAGDBKCfShtrZ
828oJQTdKHpQBHt9QT1/17eOZJnolTjxnhio6JRJEUXiuGPjpDaRqa3ta5EK/TiJ3h1nnJcaOxPJ
VknbK33IprCFLxPdgAPaxSaBmd5sqoQ94MXAgvPG4n36NoLwH4OJXjF9mIhInF4lhz9hHo9cUhrQ
PzYLoZcbDX8iZHYMMeAIbI6zfG7MKMGIqPDPoEGFG0Go5DpXQgVq7cDsmnc2iUPBOE6HyFfzuWf0
8uxgIA2SJoLGiTGZLQV7KUhz4rPUjTZsYAhsSPoV9xTH/W1ixhxvelIwv/T43SyuL5yXQeyn83kk
g+lgeYTibgaduQy69+XO64b4G+NmceeAjDxVaeLcNXrlo/BZLHUR1VRywmckrnTYMQ1hs/Tf/BQG
YgiVPk5DLm7/ZEXgFkKI10RSIfKIXswKe30oNOsTsC6Ngrh9rwQRC1mBaP3QTia3bOGaXHQgjbmk
VG7Lb4ngfzbcl+cbjzmuZSOqkvTgaBFP6aVL9+z5mzdb9P5LqRJYzG7slWtlPaKbnZPoZQ25v2ss
0bwpuYIBQXq8o0eNXzIExeeyNnKiy/XsNesgfEB8sAHD6Oh0U9c0j17jw5Dx/Qjy8+TVzw6IT2Iw
qxCzkhXvhFl6NqGiCxX6Ihvxpew0bTkuOCy8owl605wC0Ui64A6kxckxTPPXJR5tZwvq+vTPGAqC
ZBNmSv6zmyTt/0sUBUwF94nBau7Cyp+OtjloY2gCFA5+n0lRGdX9PBjzsFvI/vw5nMJSRgsyv7Ds
38IpKlezfiXBg59veGJ1n/DeG6gQvCntsK83Ub1bvDotNkacD0SYYte4kPE5cOjKqEE3bceflevV
h9SqvHs3MfUw41u1d0VDu6/gv76BkKAWaXrbu5hsPoNcjJxWrPvdNi3gim6JgIi7u86Tit498+7I
AGOHBNIfcmXhsHQpMh8lNn3PJncWLppVIXeTLMZCPF7rpTTEVRLGSS3uoGFxL20dTIubzOfvjKRF
7J0+8S9y4tQEBQiamP0n8ab0w9ibU1LH2TvmDMU2sxn7F6doSDGLDbRARTd2B4WiqwxGO5ZyD/3L
uwB0gq9GilexyXiYlAFy+vkBACjfJXZYxd5VPMfrjhc2o8V6X1TGDf/jFugmA5sgLILrpT/pRfJA
WiDU3aGZrMs0DDorUZuFTddr8ltlEkuBHqDjyW8srf3uFjwfJYY9Vid2WrAYaZkxIKewXSoGRV+z
/9vbEvACyQVPMiqJSNN4fLlkP53bousOo0Iz1o/UviWzja1YCnZyxmTQDDNUKq35ik/bMAO98+u3
yWibBG34yLtOy4bPOo0LL1l1qXJvCHkK0o8bB9dzCYUgbnPQo54+QhWIZ8s5DblkqAV7Xz1FWm2/
OYngxqo6LbtMTTcT2fYv40isxfTYPYKteSpqTT81Q6L9gNDjAyKYUF7wnqlyPrbJxjxxWXhFx5O8
9XvxbMJMoYXvZtQQHXkbC+8kXY8oSFjCrWwa/2BoPPR6Zcet6ilaz2jGOPB9Gcp1J05AyB30ArqG
3lh0QlWYfa+BBiiI9RehKcu2OE6Ulk/wTbXhaXRmxn1BOiVx4t2KHLQCj6qGQBKo03Gr0ErkqRYL
4jeoluM9uDe0AoJyo9DB3aSQSPIgKso0xIPJBM0hDAS8PDWIayT6KYfTfGeW/YgoMYH+SFxTOLNH
ORXZ0lw5/e2t9riz5GOifZ41Pz1ppG4g+Eh49MCGOsTscwlpcbVdMUw2n6N1wkqHqo3ikAQCGQUY
dx5jj1u62cXDTugxeieAZZtunttjDemAAXAhbhUJbTWT7L7b4KxP4RxQkfROmf+AKMBgdKyjg7/U
bPH6diRfo0bkwl3hR9W1P7RC3fuzNR25rikMhla/9/tGv7dLNYajXgaOVOVhHmyyCMlLeJqRTe8y
HqJh1iaEGmBttHR2jrMxVI+cbZ7L1VycePKVe6vMGW1pJgPa0tnGfnEdkMRuTA7Vva6a+FOjOcNb
VxvmXT2Wqxwp1ikg53Zf+AW28vHBLMWNyg9cNZO4H8wx7ZNpQvtOwWP7GRkVFVTpyDto2fKd7REn
xAJEi9rGxhWP408vsPcqtH6BxhNYbtQwrneQBHEIsWADd0NUUOehNcgLN1XbXGVecJGWCXeb1Om4
Ipcx4txHMxPDB5VDOQ1Gyu7wr9uotev4Qyvu0Ue5WO5cZKSs4H5q+8muznyeeM2hsT+KfhZHJFyv
he9fv86fuh+PtFYGFQJLJGbVny2TBLj1Q1b3zaGoCPdAMeyK51auMiRrFvXZWRMnTh+3w79+3T+1
/rwuy0iWh3SmxHz+1HXRkhcMZefmMGeF895r4KNKOaOKmeCadtu6rNTNcRLuxcwfqXL/+tVXleVP
R5dlKF0xX3DexM/kPSUzpifkxhxg89CAkJ5kPHvrXZeocu72fcz6hqTKjrZkrbyB5nFz/3gL/zux
+zcTO9MxVjbd/zyxe/0u+/96Sbs4rdL334/tfvvNv4/t3F9cg6vHB3ZnG4ju+KO/uQM84xcHGAsM
L2gd2I8NZmp/H9vpvzhc7LrrMer749jOdH/B5cblgOyVoRQkk/9kbMd88OdrzGQy6FkMHAQaWp7n
/PvvBi+xsqaiyuLkKEt3ONeELdDXGI08I2CzwsLqqXrywWRVKbSNKmNKffKh2JeI6YATVGNfEw3u
ruv97sn3+Bk6Ef8l9XoA22vuEvFOfn2usSDtBqckInDG9HOU0eJ2uyEboiWwNRaxG/x9QCAs3C3h
6Ks8tBvQmm1knSoPwsOmU3FHi+XFn9hK0VGMdhehCcw++9P0grsqchBzSPVp6cdVsVOoXTpqekhS
1/AIKkGc+pp+hBAOOW171pnjukdub3AE0wu/gm2s09e4llp7TKMmk2ECn+rQmW19XSZVkQtj6q9L
143nDNn4c9QomvFOJg+Gj/Zl46PN2XDrz8nYLZ00hGxRAB21WQQlkyqf4gRnt2HOTZBJ/tnVW3Fm
MfipznEQgKgcr56leN4VfUAmT00cQ41LTqZW/5QDgHhA32k+Rkj6503tMCfYER/NJy48beHRF/lo
kEZrazSj2DiqLULecx6aEhY8WSnlhigal0eB+YrArTmINLm4lO17MST3MbMHWFNKt4rQRWoVWPZk
0dnGi3XpwXSDGqxYYHvOQlBL2R/8qeo/WcCn8Fyli9hqowGEASkrD3dZ2ZwPe7gsnnHoM/0tRTAY
DnyWbR71L1Gl9JM/dZ9UTsqMr/TqSzdl6iSShkWt8pLQztU2Fr0dAuSNb9KqTKyThH2BiSrbOzSJ
JYe6gFTHpq527mP4sQ9AvKJQS9zxLQLY8kj9mm3t2Jkvamm+9yCWFDn1i7ON2jR+WOi1TzMTho40
RICEYr6AlY2YqDo4yyotehRm/5kkkiqwezc/Jk4Xxeep14vxEQxD3b53cSy/6FM7/EizUTw6ZWOf
s7g1n3IECSFEr+FiS9k6QT+WHLIJJPJ1MPQvmEaHO60xtK0x6d8ZMH5xp6mWoFiq9jhmuMyK1NTv
VeEKgpA6hS8uZsW5kOobZDzKWRxHxUDs7TCUbHQgse4ip64KwEbT9CWJlxrRNTPLZis14ogIOEHi
QNttAHDqyy2Q6hEpfL0ALmXldIHlAu5vFip6HBvjYbLF2yL9N71jmol1Y9sRB9kcfCdtfDaUSdvh
0OOK0Sn9Xu3Ie46j5rtuDBGBmITpbTvSRw92MY7efYK2Hn6ylwZZ4hiHmHvOjb8Qo+SQyZ1s0zN2
muk4i6qUXMxr7AmBQ5Nxlb5c4r0XzV1M2GfzVmKZGW5dD0IYBC063iF6AKeCub7NG1IUzTGUVMq7
Qff3yjKpV9lyt48GMZPlYYgEVBhvUNk5N/Usx0rTVPAFqY+v0jajrWvWyTFBWrFtG/QHjqtpoWgc
79Xq8Ats+uVcIdI+xL1M9rnHTDViZLKzI4XEQ1fTDp/rmqBa5J9naDFhmbXT2UvdnVX15aaJlCCp
WFr5Ju8y+zGpy3zbOPm4cUilDph7WmzuyvaU5SYRhOjF96NF2zOKMr5Ooz1xBLJleW4ZcRzt3uuu
s95rL1Mc4tQ8D3oeh0wTyYZN49oD0WSWACPODrkZBgCssO4Q+M9LtGxtfupc2Hp9FShz4alY2kwT
XrcGTchgm+4xpyjkTtW1j9BUzGfP9pLAcRi/J7Zgi6iaBdARXQYIuSLP35bMH6i53OkMAnUdCI9f
6E+gOY5DMm9s1yd9FkDDZl7Gu2KJ1Q+CeEb+1XV3iR0TIszacdjPkfwKWpeUCxTOOZPoSiAV0odj
VCqSCOuou6TF8IUHi7Ob+mI8VEtLZl4R1avKuZkmJ2At3H81Kp42Wwy/8kJ+kr8bY/EUsyQ7gLjV
z6nukiJWedmeLTExoEt3kOxxWDD73rZySaoEzjYejK7SjzrQLzSieXJ0JmvesorRz04/QVZfYzll
oxuXwRX+ea7cdEscyC1yFhW4Mnb3U+NLD5dy+mNI1YCxhxUeUm7uvZMgXcUHeHNsfVEu6KBz8H+z
+dCJOgBJaqjA5it6JXc5vUv1mXC6gjGqWnI/tIkEPtFZIsYf2vNcElGrk+XzDeg80MyymbZZUTQX
FO7xZhms5Ngt/q9Iz8tjbHff0PIO2yGffi1LhBy6UGI7DDxuRJccPYKuD8NUmGEZeXejiG4oX00a
QgC13jDaj8TdlLtOk3exym4D6KDHKckeZo7rKZpt6nu9uIvdctnNTu7zaCQMV984o3R29iLRFhCG
iJhhHMgDt2b1ycqV2kwDx/VGcFbsnJCRqOGqJOvCrcGTs9sY6Uxr2+umipONNdUK+hwWMX2bkOi1
PJUoNLTPkzRmhdHOxQaT2mBWmfZV+M7h7hYFgV+9EIo+JH2y3c7JQuJ1KWVoiywAaILM0pqN18ZA
YVJvdNGV31UNRxi2/tISP2doSdgwy3s1m2F+LUG7neiwBB1WJfetYo0QgLSdnUCofDzp2DK49RcV
x2BMemKYdfLESu6YHjLxd5RzWQgGIWObgkpkYxtuefPQ4J5gokr8C/bWdf0Jh7jHwNQYtL3sJ/tB
Kq/dTV4rmPsBSyQ7lNsrpgEOUK6ITkj0OH4hPh2LO3M15Hu5/JDtwwHuFmsM9QWf01QPYtrwdFum
VTRlnrtmKJNtb3QN2hkCtXxvw5NL39mSZ9sGg4OHy98d8Aqx5juxF6vicPHkOBz1RA3nIsm1o9a2
DoUfFiUA7BAi7oGtAUSo+6VNMbO3/rYmz5F8Vlh/YR63+psEeSfCOdOzRy/p2lvmoy7Gm0PeTI30
cy/TaN51nu4cFpHMIw64GWG2jsx8VbKp/hVvtB8iBBYX2KhMZgtO/ufFTK2dI+09GK0BWDuMBbXx
MLby+5i8ZW2OuC20aQR7ht7FnLWSuGKHYRwVUFsEpWN4Ryu19FcCibMgbhhaBPFgevmOiLZq5HLp
dSbMff+Zm/eyNTlI59oHX+bm0OhZKZYbzmgE5Aze4ozzJ0+w/A+ZYmBoA2LuHYILEUeW91UrPRE4
WBy3kESvjT0BksepxUjOhUmQeA1xEgCoHmWB7WALpqbYWxVMA5+TdvIG2Y4hy0f1bSZw/Asz9/ST
oRz3HFkEKwUpZPyL1CnNQmI2Y/9KCKNJXJr7uS9N+aoiGkMntq1doSHNMf6bvTPbbhvJsugXIRfm
4bEBkiCpgdZgyfYLlmRZmGcgAMTX94admWXTLquzn/OhspyDBBJD4Ma95+wzW+qh0xfZBRii7I9G
Y4opYKIDDtxwWAcK3bsipWP5ouPYCQaApk+sp+kRIJi2RTBtf4DR2y9Bjt0/2ilEeOG1U6VOF6fs
dguIs9tRI0YciwfKp8XJt7mZeqE3l+PWYsR2AQ93ul76eLrtnZxmD5QvmKy5jjysSZ7IicVurNc1
vhdMALbf0OrdtjoSwLKmpWdEQ7tlJmHvdKE6L3qlz5dNnzJxaGVz16x6z4D1PHtF/NffA+4tPsSa
WsQbCxDzsV4wIcFpU48q4ddQX632Qm1j+8aQwxQwza8PdOU4AO4pBglms10qR6P2RwqGB3IMamdI
cEsXZbWb7MYKM/LrD0jJSXzziume6aCxU9RuOxAzfkrjDmVdVorrzHH0CxYJseEB5GFxBNn0tErJ
eenSIFHahkjdDFGUqZUgc8XS+jVsXCoGM7tA9x6BYFRbCigUd0luWxJdKo2rtB3tV7zS04tdzuSZ
NoU3Xwldn43dBCdx9+/+vxrSYXlj/49eZ2XX//f9/8VT1T/132/8//yRPzf+nvmHhR+dJcG16Bzp
K9z/LyyAivnfYo6PThJFx1eUzt8b/7/1OYb9B/mdMJ/UVRMP7+kfqdfB8fy40Qfxhc+TIAENYDjG
+/NWXYv7mV3VbF+gQWdl0mkLTBsbJeNE97pXGtRrji6jEcIEGK/ouq4WjSxGS1U6byMHw1w75y1I
UGacttHNPC9zZ0Z7NwK3GIyGsFi58WE111D90JTs8ESV5nQ9MLakNCRsamI3iqEdyj1BtKV9Kcy2
/wzo82Ywsc8HGms00bG2sysQLi07iMsbEueWO8WVElfsgGKWhryG28vXAdnLUAdurV5Ws1ZY7KvV
VY4IeKvfF607tu8yhOJ3XRt5H/tCGknQ4ZDVArbwa6kMYGVliXsfFITkNYdYbLllY6gTGuc49GcN
8oe3Rp26p7yt7I8t+REbxaunTylZkO8ku0OyfReLl0XSDXSv9XkAq5AoLtQRpQlzKMKHjBzwT7yu
2g96T3afT/Sj97n23M/FvFy7ascOQuTlcuAv0ZUYbeOUkja09zxH22LV8YJ5zUIEUuO1N8CHKMfV
ZaGpMcWC4X7jsLOvx5o4EmppSizNolDGGf5u1MaeAWYZHfRumUIpneXG6/XliJa67ZARw0kjTEZJ
90mRpS/cD9ZNBoYdggqF0CkpKzecLZtyuZ61yykaqvtEOsREuGP9rpamE4iZ0VhguoN+xdwPY2bN
2M23W9041SbeSOZZYHCgQBxEqpH0PVg05dNxFRXr1cjIQaAjUSgBjMmQ+8LMZizjoFY/KUvZIIgu
lBBOvTzAnZaf1VJ3DkmvNXcSbcH1qLT1Za3EI316qSyMJqUtNI1KzBx0dIx//f+Q66ZIrhREEM0Y
pGrppNATkYlU3TGDQjBVxzLqp6LeOBi0M2+nd8qtq2hrnKGYin6SW4BJmvr53xX1/7KiEtzOkvTf
F1Ss7HX39FJ/v6R++5m//UEsmzRQPZxBmHD0Farw94qKCwiVnm0hkPN0y6HL+teKqqGA1JE5ftdl
/YtAtq6wGh1YGnFsdSGc/ZNW6tc0lu+69asckXYtD6fL4cibW2cJ33VS1TKhnFQw8AITWm8nuC/u
Mn7o/rzjvt1/OTq/JAudniw269KgmTVt49KjP4szp15wORzXrNrcuKoUIBo81uTexirGGkZUaR+O
eTbMER0JVor00oonQUar5J9G457nh2O9Vy2BdogJ21iOc3KpCdT9MmeI6ih+4iqYGIXtVuXRABGC
WdGYinTx2ygS6ke96tZQJXvomuWOiBhGMlvXjCeHIn4eE++UpgP1rodPzy9dXSkDLMRotYqx40lE
fc2SS5ICgpt/5xB/gvbeqkPwvP3uqfmf4un5qfxhAKF9/ZE/HxoXNB8jBsoBhLIUESrP4F/zB/cP
0+HRWFkltsZf//PQGMiGVQZ7nstuzrZBvP6nLFH/0HXT4CFkqoGE0vtHZcn5/HAVN6Ab1oClYNL7
KYMy0xrd7A1T2XuKYmZsTBe5Hz2zv//unPxCMXw+5FgP4yBxRsuK2FnXzx5NqfXdgiFY2UNPRRhJ
Mu/GGFX3VE5Ewn2bmMGGjL/wdiuWuK6+Rxyd1VlrtCDRaCRO4rVGt7u6GL9fBrgWWe8JI9ovWu2d
VLsTVyxbxtGUKooOlFFvcTqNc1rLV/QJ65ulsvppxIOxMH5/yDmnxICaHe2xVkR0Ktt6uKxRsNQ+
nMHaClwPYR+EKkPfqWMsyEUp2O2Fdj3pVdha8Rige0IdgKON8ifDiefVM2PWxevU5woK6CUwMw+C
XOyFX8VTJYqCAIR8dVw6rbwpcpLbCqUb3iMArY7kpTU7MiXTazwR6bUZkw64MdDThFAuygNyRlJp
hr680YGSf8HeJR8SNAkPThNf4UxMt5NTADZoCKGRupFfoeu0XSwqxnij92P5Kg1Zn9BIZe91Nc18
lAfFzmrxpmlpKYC1VNNerSNi3mSrh65Q147xMm3pMzQ+nJD+Ar5/fY37EUIcyIYndorKvrCndiM7
Zdq39OCRNc5eZJMYq9efe7csL21ZzjdeLRM8mO0EVKNzzZ0KTOZjmivelG/mhN4FNfQyxVP/EUmo
tfSXSdVkO6dyADVMEfd5oCbEWtJDKavnsXOajxmRH4+Zl+u3HqG0CdvR3nvJXDJsfFj3ECtKfalz
n2Ah2iXCJcwZunDynCeIR4K0MosTowm3QXIaY40ep/FiGavpwV3WRj98wY2uF9x7mYx730wz65TS
jk/mVMVrAw8gAem+RQrdfSSvSexq2sxMoWCC+TNhPy9dWSZhUiWfly5rNjHtiosYuSgKImklmPs5
OUkVFVcw9OQjrB7lxoA3calK2Ox+P2v5wa6EqmzyNItUX6mVO5PX3iFCbr8XU9VvjSXNL9UsHl9i
CJvPubZkxVbGEuGEMqTekVPAKC6yP7dDQTt16q6rYhVVOfAKjZm2fW7idRoYd+Txe68n8rmNmiJU
Gpe3olJi1pyniiQIUw3IvLF9pxkuMqUzDSx/MYxi1c2ewCFH/McOMvMRyFJtL1t6ne1tNBX6JZ6/
d9Y8TZrPy9/k1ubpoQcq2MSbOhJh8WUu0cFYnTJckfAln4eZvjJX1npu5jw/geiAgSyH4ba1BiWo
BvcW3n26HS35QRk7TJ4SUy2tmf5aAZy0nTx7uoMqOgaAhcSOGewNsslH5I21vk9zdxImc3+RLJ8r
XDw43cVIErKNNzhDGOI2eubLPhM04cqc/AQdbxSe0NaWly5D0flQeCohuAG6KlX10XHFRFP1ExkZ
PjqYfqKXrNQtllzRZ/cmSRbIdHwo/a6Y7p1lSLaehleJvsrqvONljzPTgkrje4NbVSFCLttBMWSS
GYRoXscM6k4YHynnF5roGTAIkyHuQIBEPsn4VuTWmi7UpAJzZduNZByQLDi9i20ldg2/sds+ufAi
RdTpmh1hfdSbZOyALFeRQt+tmz39IYOCau3aGTzUi7OKNv1kSAblmCPTGbs7dlZVSVa41+cfFavJ
7zxRpmGnrsPgunSsvVCH4sGJFmVF9us0XOlUG0eaVrXqT1JgHrWUxAstGu1H0vRaFP6ztQfmpDp0
nheC4Uvpafc6lIzM77FrYAKM7OgO+9r02dYrsHCVVjU7k2jwQ10gsvdHKHibfCzMQ9Or1ZH8bm87
lCNM15IyjIfdnRDWmSaED0c42k6z+xqua1ptrcYbgqpXXfxrC4MkJYq8T3PHn1qYRneyJ/fLtypl
bDYIf8ub2TCbL6ZtumibohTuKOkIF83ilXJDAEqRbNke1gdwKN6psFL7qShp7flGIUjf653yRpny
lRNIuEoVECrIv7OUoXyFAlE8GCrKwSLPbLlxZVnfxSX7cx8RPZhaguVQrJH8u/l37/R/2TvhNl85
+P9987Rj75S+/FgGfvuZv+pA9Q9+BRoiXvPmukH6z+bJdRCb6DZGGFpetImc/+hQDDZPKmQAZrSq
QYaaQf325+YJtCV6Flzr9OgdW7e9f2QfWwuw7/ZOKKvYMtFCYh/GH9mw/VjBxJA5pNvU4x47TTwE
Re6hj8WT4F2aIzE4vmN11SX3VIoyPHlTxXZWHlrYaQA6sKVkD2dB8TwrD9s2lp6Q8xBOoy62zoLm
T0v1YrM4abn/7rL8ojr85aHQslBem8zE7bND4SenVVFaQ2hqiNALnVkNY/FmixSh/faw/NdC9FeH
4lSu0cgaF/1cM4cbPmeoYQ5hMc9pOBuy3TDYyINhdt6Kij4Tqn09gTj/VBPrFpvf8yh50J1jXlic
QC9FiyIWHcQRXepZ2Ju4igBp1wZeb9a2oIGEE/z+lHIPfn/v/HlwdhHrXczsaC3Iv9t3D6j1I6MZ
BiLrTdzD2ZxsKw12xu+P8vPZtCCL6+zxTfT20BF/PErPC6kXbTSGHWFJKF6AM7Bjn1tHbLOmRMX8
+8OdCR75UpbOjoxt0RoiYJ/bvSzkhEaiDWMYL6hvkrz74hj6KwpHzOdFeWFHdAR+f8SfTyN8cvqm
gP7JklTP+8PwIbLJNeoxzFSLcQq8JC6WV29/f5Sz3dHX76UjW/OQVdLVMNbT/N3FMtFlVEASxtBI
BbG5inJJuOJp0XQd0xVjvt8f7Vdn8fujnV00tsNxS7DjyC6AwiCijIgFk9Mmy2HgAjj3uzx//v0h
zxJura/fkFbQ2mW3CRQ5X8oWRjXuNPHYaYmNxLg2i4dYHaODXUsXs2EMQaK9deBjB21h9i/2oLrH
xjL2Y9zVoRg9sR1hkfjd5DSf59lQDgv+RV9nBHaHKd4vkNIEWt7KNxYm7RfX31BNNo+2tSYxnN9x
bh/jcBh4jDCRoVsx13e/T60jtopCCkPaazDGCe7aGJy9rV7M5idVOpi8NLe5BquPM6iJmQy7RvzG
s2D98qOtO1uecIv/rf/+u5sm89BowR8cQHsmGHkSa0PXfQ5a1x62TAn690AsskCdbK/Y1IWsjiRC
dpfwDEW+KecBHxANfQTcmd8uleobwPU2UYUSBKrMchGPenet21I5yHxi1ygGEtGcNdV0wOQ24i95
GISL2tBIyWY0FWdnGPrale/cLebR45B35G8riLOGyPIIhiWN2szfj5PbX+fmYkDPkRgHjDHdTMpw
qj1H7tsU4cJiFuxDUGlfMmlXH5WuFWFW5cqad/WaL8bt4A65T5Bpvh+QpZ/4zdXu93frzw8I0CQK
A5563sEMJH88s3MfowKa1ouONksB8gGLVz1o6Xw/yqhBM1Jq//iR5Ihg2+gdWc663vx4RK+bBVKB
fAi7KDpohMxArf/sVeZlZwChBK/24fff8Od1m2AIVhs0tqvTVz9TqPexJyquzRBmS9HAgscwENcT
bU1GI5vfH+rn2xR1lI5wGCCtCoTy7DaNR0tkE8Tn0HOFdVErrXaomfa/cQJ/eRQGaJQpABk5hz+e
QIKKlHIgHC1U7E5Fy+V4yh4IpPvu919GW5tG35VkrGN8G0T3WKQdjUTns+NgMJEarEhwIyjsN/BF
s509lwCweyR4aG3JXTW48VXsyMfOfYTXF9Zmnr61LK3tsvOPQQkDxECz0FB/7bp/9+y3bW1Ksh77
kAQ5Z4vHq9hBzBx25jSkbmCY0jxo1YxgUa2/FPXk3OZDNoWxpYqrUkp2cjm5ZL8/NfovPxMMZzqr
9D+t84oD0I6iRInRh1U8Vge1s7aeytxUVkN7HfUMmxJnbD4WICPBJTGhGpuUXkO6hie5FeOmqvhC
zJ+4zt15I+X0aYSDG7Tp0NwtRKTia0utvQVn5VgtxbWiAs76/3yBr11KSnqe/7OGYaR1HnrbiZOa
LLcx3YrdOJnx+4RVLGhaJ0N4o6nM7+yBN1ZXHgGQPiFuvMc27h3GJoqCmciRFX7i3dTSqe9dGnmS
uI+j4cJDguu4QPHKFN4VQ0EobNu88Q3OM7S+3p1sWOizfvsGZ3cnokA+cL304aJk8REKQnUcLHyj
eDI3Q9qxyI/MTrJMPRj1IgJgJm/1eY1f3gV0yBk8keNFq/fHB9FdWEsgS/dhpiRD44905J4pq945
EF58+iwvdSHmR4wzyWcY58Mo4iCr9QSOUFL5Iu53usq+vrNNxycJcSoZv49NkHBAhq9Zhqg61r4s
laaxVDp3jpFvLcLON7biPeLv7faasNRLxdKKvazrJ0eod/bCgWLza0aN11tvnPOfS7fVdoBegQoB
DN95MJsFmySPMhaENiseqyh0RFZsFInRtUZp90ad+Itl26YGZudJmjy14tk+qS8gdHUsOmETV68e
gHje2iKjK/tP6R7rncSRmBp6Jpx/bBU/Xkaa2iNUNYs7qYvvc82IgRHIdb61sJuwlhxMpmorSB9t
7a3O/S/evjYeDhtLMC8mCu8fDz3EKQCkTGWq5ywf0WegsWzXGPHXwhme2fLam98/919rz7PFlJQm
Jp6azoYb98mPB/SE0s9pyi3LNry6HQ3qniUyNkuViMAQ8gtU1nucufMmXhqKGxMRt+jjbqNSrfz+
o/zyZmJiy5uFOaN6/lpOx0FYieD5xR49bNTGwc0AVhvdXh0HVpK9/v5wv3hpAm9kZkzOFDiV8xXb
9jIaouPMRV66OYwbLQokycdv7BF/eX41OhncSZzenwiRWa/FtWY2fcgemWRmMScbUWVeYEeucph6
g6cTCvCGHPFiO0UxgVRCK7azUC4kjMI3ntefN+UuYz2qZWZ4jmudP6/TQo+ZLDw+jBhQ0sYOGNRO
IpxfYgTEmhI0fVmF0BJWFd6ovvEAnw+lvj5XVEOcbOp2DEZn9xpNamjEcBPCRTOT58bpGCpMXTyc
AARY0Ozt2raDmmxozOPL6rAGIVRYG0bdtLWJ80JyN5F7fiUSA/OpPgyId6wYa//v74xfLDS46wj3
5NGnzjn3PyHYSRerstvQniMcSSbYYBqvNGQjK33jlPziUIB3TXIp0BqA8zl73GEb9k3bOW04yKh8
NY3FuZFYWjpYZOr/42utHB3mvWtL7adVrVnZCo1rtiE68u7Gw1uIZciJLrJuoIv4d6PxFx2tXyxi
HIm2CCWiQ1Pr7DWIZCzO6pEjYV+JN2iFmjvyw5hpqD3xBnMJ1BQozRvLxy9PJftrxtq2hjX5bNEG
VFmR9WC1IQhsEZRMaJgdlzomLr1/41CoS1gVz1ZNKg0VZQfaDoMV68dV083Neoylxi1iduB27GUZ
yCxJzElu4HtjwbG7Xt/Y1OQwOAwxKTt2juO8lcDRyxtQDzxcqUGP8YBDrXjApYXdHZKDO26AMNuY
m6M2eapJdrjKGbH1uzgp1mFChVHLr/hKRuDYNcEAHs4QbQfwwoAOt04lmPc6QAHxc2d+nCfavT3q
2NgLkxHVLtPK2d4aXpPouLKYjX6xM5olsd+wg0kumFca0aZL8y553xeAJw8FafNWCGe+JN5XbbRj
KecZbfqYi/7aKqvRvTIRXEc3dg8ffsffKxMQ7w4+BjMNLye8NxdmfOU6leVsRsuoCQW32uJOKJ4d
HbtKqffwLEj8wcwH8dJL0gdwVoYJEpqokAOZxjF43JFs8dXgvsRbaLhVd5kJtpNQfjwohGHfTx7D
VgGxclMLSKkXpQLzmb5D2eibprTW4iolJvDJgZCNJgWcSCBdAsTv8AYoDil0fba8myJH3FWp2Q1b
GCyec6vWmAu3DL7i8UARO+9aFzojdp4Y8CayHCkD6DFeWMGRrLdFtLb/VEXHvdL2lvs+S5CXz0VZ
G0FvJtjwsqax9qU73tDn3eGqaB6jRi8+FIqr3g6VPWGmy2aANcw7jdY7jTgWkYzv5sSpbiOHJqqZ
QPsH3x/qZj4Ro5qXu3gUR0MsU6A3/VOG4cy3Rh3fWob2F3r/i2ko01ZAMeczdE5o95OKnDy1QxMT
vU/FjAWl8uKL3mzmZ2eAu2JikMKKLp5kazMLM9bIu3nxIUE8qMifwQ+17yyv7LbgcFOsdpMMRjXV
LtyySK7I4IAI4aBiRM3/MEvDCi1Fg8OJCxlkfnSIPBO/Z5aPFBW9ExS8JTZ978ibvJgP7WAOKPjx
WqUyP+V0l+bJ7OCAzvoG6E27nQfC6LMkEgRV5eXFZCRASlL3XeSat3Dx5602uclOyk4GizKMm0jH
oCYpXW+juGg+Ve6qDU0cQGIDfAIm292rrbQMsgYSdFwa1qFT19ahKzywHYgZDoaaQlLGvrOlSXHU
iZKCi6Hhb1g+lOrYfoDctHcs8y4dlw+kIFTbSfVo1I3Rh5KBJfbUvHQPoIGrnVBaUh4s5R65V3Ts
IyPd2KtTS81MhevQSt/MPLkBK9zcpp0i3rVx597248x70egvhwVybTFLFBhK9aVvIRe5xpDuSR0n
5KR0xavZDyM6TgaU+SYX6YAXaazbiqwvn0qzI14BqemA0sVNpK9z8zwC8zLmjdOyj+BlyiLB0H36
iIUzv24n7rJsibD/5NoBhQhMiHqod7Ym3Qv+UG9nHoht9E3SAOAkRuDABHiVO4BjMRE/yFUIoQD6
ZZaPNkIhIqAJnVU8MTsE6u2NvNDHTel2BK/ju3HcSwUhcObnjgtYqViEpRxpz6o9Tdo23XcdZ8of
8gonKwjm+4Su/ju9yEgdLKs8PcAd7rYW0SrX2qS7uxp4DT6glmZckvbqs61G1JP0d5utI9XiouEl
+3no3djervKeIJus1Lic596+M0UevXo099HAVIhzsO4JdSMXd37PnKl87ZrOhlhd9tonsi6QU4yN
dWKm33xksg+3KOmXcKBiuXcXM/soen7PohQERQx6e5Q1++l0BiGHoqp/pAvHGCTrE7mmE3EnJAh7
PySx235uGzPf5bPSfnBaPd1nyPCKg0H6xC4FsP+Ioo4AIKeeUGxHVgkcW/Y8HIWuWNg5zXwT2zYS
aAquA5kT+cahhYzIFk/2LmffVO7LBpeCP6SxeGijaU05sVLNBVY9RRhyVLP1gpLR4KGpkmK9B5Xp
GHtZcoeosfBrhwSFHanYjfJANgZf0VlD3C5iXfJRcTU+oH4ep6s4iuJT6kLbQuMir+rBdS/NBEJi
w4g/NNXUvhODbsnVIdIe7SZJTpiCmk+07vQtjTPrFAOusLcVPOWdHOd8N9WzWYbIiOMTZjfhBI2V
WCceopaHiqtLE7495sgnwQQlzXMn4u7GlJ1236ec7zTLl1Au1RK6CScV2cdyoXBr3jRW1zzDvqq6
oMKwg1qizSD6UPHtrbnk1yrwbLTObI+NBidIir55Hpam+yASzqt0nPZzrcVdi/Ay4bSS6xAdY7oR
4egN/Ys39dbJlK0Ck6724tOMVBO6mU1g5wsxMSbD+0afDLyQxqRFcLF4LTebCYZQoCRu2/oopUBF
ueMY9Vg1Ve2+0RaEO1YdvW/sBKmENdaf7NjONwPuygRvk4w0H3EQ7sDR0Lfx4LYIs9RoE5PJc9GV
fHlSfef3rpKxLsZRujcwo24aVYlPo4c4BF2oRQVewd44mUZbHGCJr7QadE1E2+VTdEzKgf8gErjH
4ngqhg2omHr0sWWi93crLEcLTWtc6P2LE5tWACe/OGjdsN7lI/mVzFx06y4tE/Fg1sPoBFPNh8SZ
mt+6Q9c8GZiF7xRPtoXfVFNyWuyyItQVrfaHopXzO9fuxwcVSc1tul5uvYvcSyvDu9iaggPlCgg0
dPsEyiigy82eswbCZnmnwmB7VSX4aWUmlMWnaR/dkiJjHiDvVpe2MfEba5nfUrLP7yEu9C9yIi3n
CCOsT7ZKmSyvDkqSKohG0kN9+i1YdICQICuylRqBFtqqEiqZYke3ZsKWy2/wbi2HUgg74btzJ0ml
7Vh6bZM7jTUrOaGaqLWg1GT9TjEymrhiKbjWau8m4mAbQBgCrx9ea1dhzwTKBlByOUG8qTPtwYxX
pN7Ua19skRFxxqPX3rBayNdaz5ouQHKC5KfLrPELKRvS4po53PtNw2mxeZP3oQpfv/NXEeO9JKDg
1htUVjPHRsrUuO3NEFU0/lu9uR7EArIvi9obbXDjE37dNBy8lXq4kiRZx9aUDncloJJM+9imaaXe
dIrbs8bXeWkd6qXm5EFfu2JPHO0aOFUsYlBs6ZsOxshA2HA/yd4drqOyiUNRYPQ17ZJLw2vz0ujM
HPGNE6fvbLNvdkT69e+7BiBBJ5NXcHb8o75pmk0kGuPZ8mJrZzag2BqTeCNQCzj4hWGHGufLZ6Jp
bvKh4zkkJ2y51UoophQhk7/GFT/oRWwS51DfoWy+EtARmUWqUO+HrttMpJRdt/R/1DEREOqbjsPm
9kmdiPlJCEgJsVoyXldT5Wq2leZULVZ0Z0PVPHhzOkJpSXH+ahXDxhYF58FKh6NYlgLW1Ciu1Hjq
LqvYqY5xUi0+pT4lIGRAuAHxk2eRIJU71Xyb18J4EQTmtqmqsaQReCmNvt1WttbAmTYv5jkzH6m3
V275XD970zpnqkk5prN8aHFvMy1LKEhFVi+P7jzFtyp2kp0D2caui3bjTQp4zbSt9+4kn+j/lR/z
0pFomWpOEjrNmIWeHU7gLIsJdTrP+0OuqIYvIoU0ztJsdv04MvjSVukRCbfvTDdXQwPa/N3YKjZL
nRffjj0HGa3IeTeSeuPTmF4wVUbmE0lW9gNZZsU+TZ0HXKNlSLs0oQ6klPPLdEHJCg3rKnVp3NSa
fogMqT0DQ5p2kETVcNA1VEgp8r1J8DD2TQJ5IadVGC+LfUFxYT5mphVW1lzveJxYgGuYi35sw//y
cJq+inzUH2dwf9de6UlUC6V534AAARrqmTuLtesCr0jxoFmOcwN6oN9Z0EUxE1IX+t3QEeQ5z80X
yahJD5oY1WubcRukcDRgNs4VVv2mWfA2l1kfzBiNkW4BCJSDHoyOTUGPSPaJiOr8iC1lP+RtgY7L
VC7rJZtvpKo/QpXE4499kTwcrMHM2CjInPG6NK3oPUlDlBmm2OUsgXA53CG9ddVObnByuRf9krJ6
qck2sQp4BORpnIBW1IAgJw9EBIDyw7LUq0pZ4bVTwm/mgUPG28RzRr6akUDoAkTEc9dVbEsLtKjQ
0OpJXHnRkH0oAVOHlkYDntYasBgsmbQ0xlSBuxoZ7SVg/IxdnSNSKLtdlkMASdVbCzFllznzPsLk
Kdw+v8KFUF/01eSw6tdoGRnw+NXUDxgYsNfafbbXYJF98JiZss956upqTaKzZNA2tlhjMhPXF2LQ
PpD91R1q3XnWpP0l6ur2ExVrAQWedMes75X38PCUnSHGeDs4Y3mz2FQsBUJmht7esMLdyC2kHJr3
Qi8F8DOjnsyNcNTe2Ts5kF4WDbs+KWRvEPy2OPWJ9g1qQd3NUFyPRcEiVGtW9qkss+pGb93yxk7p
I/spsJkwS6bhpeh1hNXQG1/aSMUxrJPkcmpRARytLqvvFlN3pw8dFQ/XLWWTQ25SwVtCsY1D0QAG
lN7cfORtSe9MgqZFLEpD8lBHK4EPBs2AhS8xj/FKgi1zImj7saeJ0C+Ip3N4rYnfyyH6pPaZhpJ4
DWyqTXJI+naOPuk5ieWBGaWKFzQy6l9QTaKR17GWOFuZW9Vd0c4sDH0yT/XOiQdR70xvoqOB2YTb
I9FHChzAJPVdgiyVPMa4jj5ZmsXPeM0MYdBB7mxtzErlNqqMZcg3oudTEtyFXGpTodJy2MRg3fYz
WG/9RYrZjn2jWgkNfXQzoWOkeOU3S8Wd64M50X7cJKa3KKGyrCUAfB++Epsp7zJLVDJC7K6kaIUR
xFVSJK860k/G6JPoRJJgk0nh/5G2h65xHDnq2BoQcCc8EJ++nUxLYDbzDcaTaYDEEmWao8m5BsVn
16HhWXFgQIvNA3pBnHrCJKs7C/1YFRZpRrsHZQHBBFU+5/tGowt00lvYyYRZSOuCKIT6zppQVHAJ
mbeiEgdTw3Ns0Q/pGjXPLnpUDCKEi+EkV54YxKsAmsGjpBOpemUrWnKfL0IPq5EIxFLznJvc8doo
aCBd3E9J0y/7mTZ8dDJHvvReFyqfkaqcT51WERcPakilMP+rrSLgmvDs0vtPgDYbWMC552CBs0jo
/UvK7gWCyERFvPSi/5KSrlmE3tiRujd6RLeQhYezMCgw1VPvcjnlvqL/d5yIMVZ97kMqOisxm+yA
K4ImSsdsBRhDm1o4KIlU1/hZhfdXAP4OGWzljsiqdEng8ikRhkoUNCVk4VT6gONRT95rmapv26JW
j8yku/1UjsZNGbvzJVqm9EHKZHo/YQH81lb/l4j2lhMJmw6d0b9bwz9lGBxenpIf3Hu0utef+Mu+
pyEmReOJyhNOlb36mf9yImma8wegVA1P9J/JBn+Z97D1qeDOIQvyRkP0QMv8T/2pqWHeo/FLSWQB
2CY755+Y90hX/7HJixgFhSsfi5E+8jciIH9s8hI51Y4Wyu1r7lDlEEfV3F5UVDvso122XzhCyHsk
3+s4q55d3MkU4uEzesEvCdPPO/gQhhWAQLi3bW1+zB0lvWAugieYyDxenU1luyXv+96rN4ohl+GW
QiEm9SSepva9WrWR4hMnWhjlRe6lfShEkWXX0Dq91p/awt2xGakOZbTQCs7GNigXLd5UZWFuEHBY
O3q2Om4Eb7yBErrCNNUpuiyMprnsR30IF1u0R93rpheCPT+Z5eC+mF6vfiym2gnVJm0+dWWuQv4q
bbYf/ZPRZRrfl1UALrLeJRdySea92sBn4EIp1xXWajY0jgBJ4mqA2DpPj0VHW2DUSgFZpKA7padT
dlKSRH8kIX2V8TYbdEVN0KeJersgIrkdgKtsmE09oj333s/WjJd3zQprdO9xnl17K0ghiwxR3piZ
0u7NsdOvcaR0h9Eleed/2TuT5rqNNIv+oYYDQ2La4s2P86NEitogSFHCDGRiTODX9wFtV9mqqnZ7
Xws7HGFRfAOQyLzfveeaOQHIaq0gc9cystAoX8NeQUBh9rFzOd9eqaogltQY41tX+PFpjgGoF7VV
UhqZtbtlrTdb3ZdqE3Rtcwzt7PswUIHG/kR/cYkBw/jPQIeotSZNVWXw1bYhdbh+DkcuaJ6rrHpW
Br+6VpJJRzpBIOsNd+c4dbPDCUNBt/TpePOnGoBnWY2uBQ0vrB79RTNaZkcmT+sV+Vmt6Bx2tjyX
46EsjvgAQDWlvo91txn9LZAi2t5MTjMzAwM9DcRerOQiCqu4n+duuYun1Nyka19c6tjU4Wamdvkt
TrPjTCwOIi8RwivDyR4nryuvXWT1a1jfzs0ao997aTzdT61q93XX6W99IMo6wg/eb4bCkD9obcqH
KJmEdaj8fLpuF/QD7dbIlB+ldtqbkveUg+SmXCVvTKs1IGJm6leWDNk7Zr1vUo06gwhqwwXyWm2b
9UZ5Ywj4jkO9o0lKRDxzbbSqQs2cvfxsayfpuAdHh771UbPXgE29Apqs86iXazHNuHbUhJTV0Jw7
XfvKk+dumbvPCaGpKhoLO/3RDEuzC4IyPPpr4U3rGu/eAqrISVPodZBOOJYQ+KL+a2EU66BS7f21
NAdnahGNrX8l1zIdGpnTfYmh6G30rHIPlsn7VqytO8tHAY+3dvFMLQf11uqnL1SyO/dGEfvMzIN4
P/QoQJt6rfNpPpp9grXkJwAfJKEvEWKZGdjcIyo3u0UREvM8PCz0l6NDsxED5+u6h6Cchid0rwZl
vWaSlscrnDZMsitDcoByaYYAKRbylmhhx9Ro0yOPd2dCnmrpJbKWMcc4Gc+7bG0tGjX9RQSELXhc
0K7TcOYr6UV8k649Rx5MLisO2k+E2rxL6AzHtnaWu2kwp02j/TPzhgy6EDCeUxZXE6dFr7ln8GYg
xq+tSvR2zI9FR9VStZYu2Wv9EkdWtTVWyt4wtdMp+Khoqs3Qf9S5sjchEDxHS/OGHNXOXDudEkG7
07z2PLF4mrccLIlwuXW6oYEERIGpQqJok3lalPVuTS6QeaHqE4NA+1R1YBGztUqKMxeFXnzJh3Yt
mYoz+cnw5czsiUatx2UtoqpMKcFA+vNxzslZ+bOqKEVc26oweKakCd3igJIqt7CKGPbYS3+VpYP+
TARN7JWsk41HVu7GZP8UNWsjVrh2Y8WIFy9OY6bHeW3NMnSJOU30swHF3PVeeAguqHGh8d3KlRHp
tX0Lh+/wIwdnDZE/ay6d8ixkjAqSBH1dyVIlOwXiCvzxOOJk7ogqAbJJX+wl6a/bqrx0TTOc09Cr
N05L+RdyRn+/rIVg01oNZq4lYR2BLRX18DZ3IvHaQyWabINKEmy7IoBQ46fiO431I9lL/Q1sBUMX
1swyiosJcgZHw+vUECpqpDs9y4/asrXADKdzuO2dxnvBTMG94XiSsUeAIJcV+oa2A4MFiwo09Hbx
tVhr0QKfgjQrJiy2mI31SiOA2Go61IjexRt7rVVzR4+GNdOIkQszS6NSLsGpCsvLQiPbOsaHugTk
ZAeAiS+4tt1w62fjwwQL99nQLp6KAbDgvHa85WUHutNQyfRkctY/hw5FcEmQ0gnH5RgeWTcRC3rz
uoP1fFmW4Z4WAnSakpkBym6xcbn2PuWzXa3DiYhbYm2xs5ANF4CpYWBcCrJUzK3aJogcB3QS48Lg
mGlv2AP1LHeMA6qNGcTXbPCLQ4OGSUlATiJsQV6aJFIXN1S6H9Z6vASMVGTrksFXEFfXiduyfE/x
9JpmpjwYFPVeIUT73yy/LN9aAOK3btc+dE7lPjLe/GzOArtxSEBtmsD6QXtfDsHgDzvl+uNn2oaH
M6rOa752+KU5XhCIWavffC6Ow1IyLqFDtztndjzsRJYIWPh1c7+swwQGMO6Ile4BKc1+QficrjnY
j+TErHh8ppKF8OxCvWAls/xMFee+cSC0Y/m5Y0L5pA1woibzQhCUTkzNwlh+ospGHgZU6jukCmuj
O8ngSMXfgyJhCUzS9BB0IUeItKP4EEP3dSrEdCXXWsQx7DhMdcDA5YJuBRFi+cGI+RPMknpjF7n/
SOrV3fdW0W94fQgHuXMzsqruZGp9jTv06KoRDB5kc13iL0GzgxQaW+JzuVY3KvT5nYBqeMBhHu6z
teKxHWaN+zRrv2qj9iI6scGdjXR8+lM+7GkT+DqB0YQKSU1kAnqsEEm1K2mPNAZ33rYz5nl/rZaE
aRP5RVJe6f7KB3xpY4yoxltR4njC9YceY/rl5xxo+CObquKqVmt1pbu2WGYfhZYNeKsDdnB5i165
rzw6LwNN+yWzBEbvmkZMajOrvZnaybXPoHfX0sF6TOK1P3NkZHavXKlPVCPASgkoAYTh6m4mMX0F
rZLDp2pdeZgma7mTk5/TN9ha52Zp6z2Fhfp1+Kjt7NYGz/ijzLOgm7peabNi6zaL/lbTLPDVw2tp
ss19rZIw3vJCflRDpfZ5VYcAXmqjPc2kFzdVXoDWXFrqR3wFBCuyRFHfSG0XG3K1HsOgSqUbVMd3
NFgbrWCZeKSBNY/c0EQOLfI79r2bPjPL/cQBe2/GkifoFNPlvVaa8hCW2zSASUpRi8lYIoDouXaf
Dj0Of/gWyQ4/RBux9Wh3eA0fXKaUwAJhul3FccdRs7Y5pfJVf8WDmBxtHUMM/ahZTagDObcIKpsk
Nbqt+rWLda1lVanZQv0A78ZE23zwJQ+kaJqTnCFlb33T0i/vMFSwIIx2uXHiwt7HNVUJ1mOg4yEn
kjAGafMtG6qRyX5Vl2H1iURrUYhz7AZZcdXTVdN8mmhhJFDVv2sD5EZYs1OO8pZZLSDI0vLHTc3R
e8twlFKPOU0oG6TitMdwOuvvkqHb+xTyCtkjuF/4mearwQwQEuEoT/EMezWyRlzJjCKy80AN+Y2S
/Omm85oXhzvPKeZ2z2/EqRKG5IQTRu4ZWYkmSqSu39vYtG6aTAcnD0WWO5jD3K0/eJ8WxnORal3v
XZSS6tLFXyipdMNp5y5he2kr5cAsrNqzUcnqwZzSFP0BcFvUpNNwFGUfrKvBvGXXR6mwYAtjT13F
KCorjl670h9L174y6w5V0aS9IUNb3gVlqreuN1cOLH9+n1nIhqjIKJ475CONa0FWCFmWYUfKLKm0
55O7TDhwNlnZzy9A1++SnDhLRD5WP5LSTbYjvTXxph8W84Z8sb3J+67btk4Jvg4XiDegI8ngLuAp
nGOkUAOCI1OeCPZsddZVnn9KgrJ/6dl6cmbqxtu5XpLHyl06Uvd82HEFG8agcyKJXLsikRGPU4uY
RnuWN0i6y/NOPcZxZfbbrOGPDkvongra4S59EmJAUJZ6gkdlfbGY5Hypm+QprnzzWtioZog4pnF0
bGBI4HmBEAyjeQVCSj4y1aSTMo5l7d8g4pE4T9Wrv9AfHMkF0FNkpOayAYtEW2m2JIAiTLS0u6Kc
y+fclPnnIJ/iQ2CHVkJrmmXTvzv2n4t2oOAITwDVTwLPSZVIekOTep+3OTehbuslaj3AUNAZmAsB
HVT2lmzP9AbAFxW7MQCKtY2e75W/lrfXYZldWmh48BcWZq9Mv+xdB69pZ/tYqyaIg5RqL/k1vtLs
VAHnuEXn5QCrPS4m03grg2b5nCYipiXX8nhzzsyiYcKcfi5YKmyu/Mnc0M273Blzs2xLjO5MFsby
Uq/7JGfhumoXTCuWMrGcf5RasfPdZFnYHOs8thiL4P/k/LluZC23vXYdNtdMxVa1c0l2IZxDH+0V
p5r60vRTUN1ZRd45mBI8DmP0pLJ7Hxu66jdD6nXmxAjAW96NuTaneys08qMHSJi/cDTm577WUn9a
JiPn+Wr0HHh7piqd49ukdnzbl4DYWz1d8ZG0ARaJRKXexumsBoTn/1SCMg/RG/p2STR4X199KstK
P/1B/vk3zkBrNTT+wThnBiaZUNonwdiTMXB/dt1Kpae8dKzployfCz3NTiPLHvlGqpOBnS1OvtqV
cxhz++wU7t4Q7d5NrV3gxzdyWGir7Xe81UO45Azos8P//eJ+chD++to8Ip2Yvsnr/Jwpq6xRAQ6x
p1sp21tfslcEnzLe/v1fgmEe+61Je73/8wfgwmri0Av6MrNJ0PGPZ5R7SJX7j1/zX0nyryRJh0nk
H76Rf5Ekj6/Ta5b9kShm/fojv2uSLngkk4uTChOHGYSHtfN3pJhn/sLkCrHyox3hIyPzmypp26iV
2EBDnOQ4vTGV/0OVtIJfQjOEGAKbC6oRdvO/o0q6f76BBFok8EgSzdioMdjSBfpnUZKgWbnkbmI/
dky6UbaWqpuj0eJ1bpaS8YYUGF5Sapu+SR8PUpoWxsUO1XyohTHLTZnxLCs7+q5h95bwCzlX9qGB
PKZH+dKZJn8PzjUsoSti4z5vteTIzBjq1FBujhkaUfHDAWMbsIvS1fD04alp7Lm4YGVZjmECrze1
jOF7vRhLG2GKFXcGkAuUvJKKrxSw8WuYyPnVd9I5Wwts4GynycgkoS3aZQ+WVZ3d2ZBvHITy1z6Z
ZuQT5i9M0+aXuQVZG8qk8DfOvPTfKSu2IlrlxSnhzn5IUg9rgkGpDvhB+/OAfbH4i8jEh0v+n2vY
x1ewmsP5VhGioXH+FJWqFoH4GOMUW1onPLnO4O6krXkUrIgkniG26tmf21V43/jSvq4nm7cmvQDs
UlaY42FJ83nnM885hQsD/yV201sbu+s7R2TjuVZud0lnQ+/cLM9vBrcnZBKkIEnKMg4OSQpJaeic
5i4I2s996ZALk6hdyYS2ktoH6OnvufLU2x9ukn+zcK94rz8s3LxpYfrrBcxjzxTiX4IpEu96Epuy
fuSEEr9Y67efNA3bCltQqembSLC5056qfOp38IgrDPtGv+w7J19u9KDNN1lYfAyhO+m7pBbFeWoc
9zGe+S9FGPW7LRvrKqHv8C4dPOvaSZS+d4P4KRHahiGA+7SopxF6MgiorJ5IKRitcShQQLczJWi7
xay4pp3eHK/MxXmvveF6am3riL7hHmcA54y4yLVkei522p3snYkUydTwpZRhfhaimb5laeNE0KCm
b7KNHTpe6Vdre2uM4hTxQ47Dvs8mfeGmLG790eBm6gg3Fs47RM4c+0zcet22yJnhAcirNlkc6GGb
ZVgiGwacB3Np7Y2dYZbxawwcuuZbivo6y2+qdB2KB6X9POOV/x6UioNIjYuatJEbqiPDVWtfp113
ZMibgc7szZsYO+19UFvjjVso3pztDJS0qnTJjzPe73CziMS+GFmv7zow6Nfkk5N9tgTLcXLXe9Mo
locK09CzSDv1FjK4vhaiDTcmroW/euT9ec3igc9Gz0MediyAswR8Vzf9HwKbDAKwAY6+cUkhRD/g
F6oPBgUtT7OmCLr1B/ok2JmcqrZZvmHexFbdd7CwydKl75zK9a307PiselM9+0rIbZmW5kEF8ovG
TbxVg1d9rhR/SzG29Grmo8Ocle/+ugHpHZk93sbOTfRupqLxwum4ECC5eKvzwGGfiBHkZQuz2Ehg
ZV1QGw5zruytHXQmm+a0AQNarkd92xbN8vBx2cocd2SWefNNq1zr2pJN/KOhJPRLYFTdc0iq4xnq
qrrNugw2UYXZNEVArLO32iwOqNRQEgcdAjdyhgEr9rwU/q4IUo4Jpmrm3f99634Ep/65Xq0f/zqz
IDDnUShEkn+9tf/w8SPsdkCdWkxurfSMbU/khXY8ZTzmtI7etFZumxtPdQayVoaG42oZyhs246k+
BGbG48XhHmR6U6r4HBSjfC1Gj+lBiNEv2UiGPS/YKHkz1ARbJ5UNxq97mf9ILfl3b0Csj1eLzRm7
1Z/5efXCecYirXQpqZzZ6dzSt0om6FVejAeiq1lnYjWxXthrE1idusYOnKV8hU7vXlmTF2P3ax0W
5rl5dbRvXXsTtprUxn62Z5IWfyp9xWA7rZMy+IuoyM9lSuuHL3ymnkzbfLaUP7/2qWpXEv/kXprB
xWw4dV38g6uZnrcWv+6TtWTLTa47fVf6Y33o8dpkkV3XHoWh2XgmgZBtptBuT6U7YWHxlfGJMjws
SpPos02rhvpuCbrs2rd5/xOaKF6Hbup+jDwm+Ioy8QYlC27/sgTot6ttcsCcXR+gSCEZ53gTtc3J
qcdZ+mzjqT4aAcY2qFz2Lg6o2ig7J9lLTs0vmJ6XQzuN8YmGWWZltV8jt9i2/m4lHeuVXQljTdXa
1o5SwnDvNMUbprpjlzq1QiWQ8lSKMX6pfW519gT6/uPWi2mEQiQA/7uD3MbLq4uYOUprX0obdwot
Ks64CW2VvpuyW/Y5/N0XrrzxuyirdQVZP5rcj89wgJYbYa7GClGx8sk18YtMW3wyJap4JJSXffGr
/JvTYPpRSapPxWR3m7a1R2QluG64V7qt65f6NscmVP/FhcAm8U9PUG5DgqvsGRi+MpxmO/jTtoG1
uhq6YlSXtLR6f0PXUYrgsK7NJaz7A6zjdEOFHG8AB2+yZysmXz18+Q8LekEBErY7pYbytwCaS1x/
0IgxoZtZsRmxX63CR73vFUh+RFjffFt7Pz+z/PdvNiy370PmC2Mbem7l41Cna/VQsx27Geve3aEH
zFwHVCvhH3dK0ImlFeOLCWkWOgaJobf0JvknfNefMfhwevfRXRhjAMbGKQzgjxsL3/tgDu+IwyyR
BT2pmKyao7YWAuXctXDqs3XLuX6vCA/9c4f1xTUg3G+1nS270JmfLSlhQjZQ3ng9aRXBrKsPYSK4
WHO7E0xWAv8bydFq21I9cG7wehyXsJyNCLulOiwK4NoNspzApTQU6RPPgeypM+hEiRaJhoNfsMqf
u4DkC10NykuOKfsWrCUOqwHmJXQwA8z2xRindYODc+0MVY1HVVd5VFWuPcIOZc076EKVydsFjRGV
zWrz6qYVVBf3w+qUAU8db/AmC6rSFqv+lCR9h8QveOosVu68pU5M9D+xPFlcGcCX2P6E8wP+wMYA
c6jMt6psWFd7VRFTYWU3N0YN6zxxp+I8cyHgtp6a5soQM7htKKLOF6tZ4B7M1JY8IPHGQ0QVsr60
7C2PIODCBALbsvywvSI4Yf81EKKrgjZTL0ZTwhI47cQ4UoxECxk9PwTLI2aXXIWZYpcZabK+fQi3
IHJlDLfPWcofgM8vDKKoWXfZttImiiN1U05Fdev7Ff1nTBoR+8m7R104Lw8fj7P/nmz/4mTL8XFF
I/1ns83t9/H1z7y3337k95OtJQC+CUxq7ARCixzoP0+26yP3t6OsAKnNVt/HdS1cbDhrS8FvBpsP
BjBoAx5qnPMCEqJ/5ygLV/inFZEs8vpr2BCCeLP/RQtJe6HHupXOjQ875GmehEs1M3de5C6liVJd
KVpoZXMG8aWsqLHUSOFR0u0mLygPg90p+prNwf7ipkSWGr/ElqL06AjCcErTMse25ImG1fFLX1Rc
xQmrXCpn/GjhGIC3lH3eb5ECKVYfptm6DE7XvNRjPN4tbRhrSK8105ZiIVCJMb2d9lklsGK0Obu3
thiHiOFxf/DYk6PwpbmGc500a+Pb7PBwm2cen6kOpuQYCmsZtrrIzTf4/6zQ5VwU78o3FN0g7ki6
Zqr0XRw3HdaSJOa9I3ljOMg1iv2pmVtB+MVi7HygcI3/63SutM9DkCCEpi7JgsSo3XxLmkQb54AX
2FyJGNZp1KiK1l07kM1DCDuCA3ox3qlyInrhE9igeAwfS9w1QIam1j+yfajVJhfNkjCx7PV9SyaO
aYFodS/Bm9qfeyl7dPrtFJtNr46x5VLSXcV24viHwK2LZO+3mbmY1PyA7TQ3RR3oW8dfSG5s+nk0
TuJXuVF+aI85efm6pogtKAlIPXec4jvnQoVTEbXwXwCcu1nMxrtQIwT03erRCfFpJ21FbTMWnGjA
W+YBBzDSPL6LrdnYj9Qi0gjsdr2DhqGG0e8pxTFGirsV1MLmaHYkbK5wMJXxVoluXC8c6EuLZi+0
N2h4xA9deVM5nns2RdK8teYq7502aruOSFkVsWsgavEliVPbXl50VpJHfe8n1VdVxNMPV/R/F7zv
/y/CJc4UTpL/ecE7lWVWExP9k5j36w/9tuTBsSTFZENKdENrRX3z9/0m5oXWL+6KaVmJPSE8o1XF
+ecKiK+YVRKsic/ftxoDf18B6QfwqBNjAV1FPhpa/84KCFzuzysgXD0ImoiGgO98zH8fqssfjmaZ
l+HEsrr0rJXlZ0Q86P50cwIKktUBy4K2BIHcPHyUheIYuhIIsLmNgQuPo+MRfIS1DXonaEo61BZf
UBBEoSMQa9PUD9wdlThYOQz+hyLM22eFS93dkI1Jcqo16BOPRrsb2X5WAfVVMcaDaKC2TJC4HLzr
MOd+Wfc2y4kdaE8DaN6EO4wBTrsbV6bixpkaoqxdLMdIBAYqQj773xixjds+CMk/LCZFAKks+24z
By69nxaeMfs6tPt024WVdzMhOkXVOFw6cot7vwO1EjGTNcGRe1b2KPN8ftCp2d+2iV1dqpzYxM7X
jUHcJNCJG9WumWDcyOWldOVIsGdSmJua+ZgAfjvbss2umKAcdEaPR5Q2WbN3a9fb2F2K976f7II+
MpcEheh9m3oxKBOZ05aPlk1KPkzF14S40x0dDOGWHK1zP9h5exqpZNimln2fegvnhdrzd8YMR1pL
o7x3fKO8derp4pqMp2GqkwWU2k+/kf6RBwH0coMZrbiiGI64j6fVZWw58UZDmiU3TJDF7ZSu23DG
icO1Oe0UDVi3sWyrH/noUWYIPG7fuez2ktbvLrYXfnN5bODPIgTjGakiFMG/iEA8h8Kwohaz4UaW
7nmcGizq5FMf85Yl1tGhvnKkP91nnUn4sUjfcuCSr27jTVvmP1e4zOatu4KVOasKhnLSoClUV49l
W1SY18ruFgx7yvmP3AodiQ9tmfe3hi5oVeGO/VxQNRmJzta3MwnlrdSuvbNcXqlB0GhrjnHyaaF8
ooooiierkNdU0m7qPG+R5aR15aTKPLOhfS/583S6ivKB0zGBAiLk4cUng/0QYOPGzRbnOGlJ4t+K
tZo9lwyHCuJOB0pS64tpc0X73tBf24UQVzOHY9k6NIpx2d804E9fsPTB9GAbngJEp52OzG3JYZVN
w1YVxXRgBp/sDTVceSBnz2bq3Yxjp4hYeDSHqoaevCDXjFDrcuQIwTVIqHwmLwCAfINW8WQw3Em7
5QJRxNzH/pUYCRZ0qv4yT0N+nzrtnYGwa6FGbcNSXBgjlrs6kN86SU8OLfJP80qG4iT8tfLbco+Z
vp83VWZTtYmRrF6/qfndoHmV3RHAqWUwn8UQ6s04h/FRTqNxM1GesosHmWxzU7ywGHZ3Nj3KewOD
K1DdhC2X6sSTIL5ILh+0ehVzcDYcm9vKOPtMXyMyJC9E4NRu8KuW4kxlM8M+Lz01yVWfRqqHW1hn
t3WMG0B4IQ2gnNGwZVa7aZKUAU653gimmpcgdsoHGbgJ7bZ8zMhezglCn36odLkcatp5tqT32sNS
aO9GtCPxIWc6tbOIiy1ewukB0eNp4DF/NNTs3uI/TWtusKYTk/mIA1mU4VZZWFzu53hyqmsCDLdV
G7xxFAV87i3hp5wB7x5QKwWjQRbfz06Q3blp91oLifGK+tVooejOk6MLYbU1+69dy1tee1y2rSzt
q6SscdPYLpe0mZT0P4qSUW1a3s8su1Gq1+KTpiVI5dfz12UIQdjErM/jwDWYzXr+Gs50YxJfM9Wj
avVjbaIBJ0Fd3TXEc0A8hIyY7xO63U+OxN5wYFDO3LZ0aULslrw5yYIdDvPeHqylrMNLn/s/ZIMV
M7EJkExpUOIPCixqjQjTB0wd6qqJN7R3DhoPDBXBKJyZZ+ythch5YPfVfk7J+LC440zUw1NaUvco
jjPCwLmqzXTg2WKob4VBSpBRTg63BKK6zai/DQj75o0OjsWAl+lai9Z70DywH5025hYpJi49TGej
+6WzsvacLtXcUaLruG89V3+2sUAUYqk0Yl8QhZb+RUHCYN5vme25sUGgqjk29n2Y1wk9Nv1pBphC
lfBQPhJadmgAHkF3pEXMhRsuU/oiA9HtRltURytL0teASUZIJU0LNy2Ze3GdOK2FUYySLC9aJvCr
o8S0MjnjOEaMiYwHydL+oy4EU3bgXNNNP3bdPQqTMknqzvhgOM7LJCJH6+gI7NjwbJJme1Wtmb3w
TE5Q96rhpnOW6i4e3fCHqdMBokMZO2gKxfhsFOVyW5n+CaETx3nleO9uHbqctNH/B1KQY7lLgHOc
3GY80XJY0cdo2fOWOcSaFIj5FPHcpcHTMM4uJdVd+W7kZh6fq8GGcQOMfXqIlfCeeI6EO4mFeT+Q
VjDwcfmSMrUCDfXUZlp/KzAoCBajJH6C0TLeax//Aniz1LjPcq8DiulU7Qv8h+LWKVFauYp7Kr5s
KPGncFDFu0BpQsgh+dWVk40FpI5PeM+rrVWk3KySw8HdohxCR4iRwRzZ4ECq3WyH5g1i4vTiTvP0
nRZL9ZUZ57ivjRyvipGECbBUqlXPiNLjPcgYBBWna41vwpxBAhM2BPpGnPg4+GTvj74xya9hohEi
Z2rqTtJieLPNs1whfaL1PasgEyIKGqe/5AIjPblLR916vSxP3HPEkwbbZNAwC60iXnm4c/zWfInD
Pha7OjMLvbVGwz3A5c8u1M4ydIDQtKlxH8ONDUR+YHnGu+laI2bxwvav56lXZyvtva0nBUfYcei2
pc0FRyP2soGQKHbKdNWGfH+/g0sTisjq5IM1dP22Qze8Lo1xIBEdQ0DTfi5PnS9aGj/Kun2hNnqd
KyZDZzE96JovxWzLetcTc1Mc6NTyHQiPcxObGMkd23sTSRp+9tO6em1oL987aUn1MEt8XEXzWDQG
unLBikjGwjxlvunfhNS4fR3dtjxKjsl0hCbuAujCmZ03f+Js3ceW8xT2aZpFQeVogXuLFEPd2M2R
iBX/WdA6FRyJh86XoIjVuNFIyq9jOBKArV35FaNN/+CGPa72XNvmy7Cwgdwl5jRwLZkd9di0bL6H
Cov4Lq68hMNsk8dfwJbUn5n1et3eQTO9GrphxiJi0M+7tDQiVABMThQp35vLkH1RtU9L8bhtUppf
iALvpgCGbT334YPoQ/N28EWyTUKq33DESfuOGKURBRatzSjErozcdhRvAHlt8HMIcU8Urvo47KsJ
n6hlOBYV0V1mkhFOktuut+nnQPA72XnJYFe4/XaRTrkfTHO4tjDzewO1wmluD+ChBs+Ht4SLNBo7
FNLC69vPCQGjN+oG4z3tEnBY+DaXbiNbMdykti4YajsFBJTYNWWUtUlOWUYh8ndpwrCN8JHUkTTS
kqXFmW4aFOTnMtblJ7xu6cHMXIPzQTxct9izMVRCob4qWjrQE+oS02pKzrQ0GN2+ZoxwDLKQ2jDo
x8WXLvChARABYRiUZm4f76S0vR0Bh+WqMCx5nvBIXPMOy2tbZNm3eMn6Pd3bPUwRNe6pd69Pqkyc
rV0sz5Ih37CxbKt9TRzl3ztK4XM3s/b0X1nw/3NKRqTzOLr+51PyXfudeqo/npF/+5F/yILeL+zK
OB/boe94ABH/cUZmdv8LcG2elFhOOAd7SIG/n5G9X8Aah/wcKwNOGBtp8rcz8kcMj/MsMFyP0Zf3
9zr0WJn+fEYGgum4ns/xcM31MTf5OYbXDUC42Urd50XoMNhGEme5bhOIC2EshXgQFMV0h6Y063ZP
+wnEsmgaM4+yI6JgjAo/pCQfxDzTlqygmJhd0qo3ucFokHHzuCciOdYF9uPVVteXynwnCDKxD/C7
msMWw8c1REOfMc7HJrWJRxyaUAAjS1V+JtJt/Vi7rJoo7FTwZqw2QI1d4uwXaz6iSVj5e7+8YJqO
D8mCj5CSP6zwuO2x5jreAPfCJm5HcFu2ZJgdQSAdd2Kw2hSr1bBYr9ZFbzUxZqudUa/GRn90h6/Y
ze2dwMqAD7H20kv74Yuko3O+H8F1h1uwMqC6HMk7jhD/+2DXqVJuQzNFK42LPbWhzBo4Lr9lq0Oz
g1CS37pErbdYYf07hmh4O+dMp9mm9Og27aHqMOoIdUgzttln86Pv9j0VHLGcv8RzQ7aCpQkQlY6T
R184dD90DfsIAi2ATDIvJjk4af2FdcNyD57Q5impnXEXekVXb0wrxzHvgzZPIj9z5PPcagCZiQKR
AC6gOhtdTXeX4QYQlat4YWBeTD5BbPB2KsqXjK4j/NHdss3djt55r4Si2g+z8u55J4y57WKsNEct
XMAM9p1dtzqDKyNPf3C8EhAxMQ93mRj2U4KxxGWYvR2a1H9Qi9Ak+9Mi2dpz3zwUqzF5bkQcmZWy
HozVtlyPlXeOBWoLWARszZMMkRe4aQhtrs7ndGaPX0TJjKdor2pDXgtaHOcbsx5MX545ok60doXE
6IJgxwchIA6MaS3vRaHS5gT3zSI24QDBQ1QJMg+iQtUJulgJMDIzrLHu4M4laSvoH+LTexg6chNs
Wkf/sZJ1Nm19Q4fyqWxHX9EsSQvTTEIIiAMNZOxftOb05/0ve+fW3MaRbem/MjHv5cjMukfMzAPu
IEGKoECa8ksFJZl1v1+zfv18BdlhiX3aOj7P3R3RLdmiABSqMnfuvda3FLXCTVIGjX9yqjD6CnYT
2ViSuaD/M0/nxmmwiWtbI24p71tQmSeOChHpE8X4ij6ZnhLhUf1WI2/WxynUkU0Guyqo7jJnMUBh
FMNYKXAcrDqpsXqQ+mR0B0GM+K4I4/gBhY6c11E9ADAsmyDnyWYSTd1X6bjb0NvuR7xO1TCc5jnu
6w0kEnNdRnybm2rIB4lm22ig2i2TrwcH+zozXhwH7t005+N91tpi36QuUUShSdyXkMvUOnEreA+G
G98bJYhmushBhhBCYkonCR3wgorbct/5U00Wp2gfCYZJ5rPfG18MMNM8U8AamBfQubPvu9JkTt3V
4JGg8+nyZWKWShGKQuLCFF6Ve4uGTrHnH+Ik9Y2CfZOVSH+EuAW7QNlOV6M2z5Szz/BtjEc3QYxk
llXzhl3wye4dQDix3c4fhxSJ/mEE8lgemwD4oVcZ9E7aVqApS9TZKkaeR+ahnMQTqizQgEvoga6T
/TyZ3k1ieBovz2hM02mSBEy5ZlvMnCubdI8psV04/AFiZr6rchdWaG7VbJlno9Ji2Jl9lG2A6Krb
0sFXYnqJ4W8N5PPRxoomAFWzFW+ESZzNqsP+knxuwAK+JqIznmixDUgNp6HZNqVl8awxB9oYyWxu
c+kY3bEJF/iO2SftlrC1sLnlD1iMNQ1abKjgHYrTlUPtQtOmJcs3p4DHcCBW8PwtOjC9E9HiczjR
2E4Tmrioq4GOQYP5Negoe0hltvPeuiuLqveoOYPsInVoPtPe/9XiFoZByHia76YQ6oCfzT070CU2
IYbJTaei+kh2nyu2xdypbWbYeLwg4kyP9D+s+yxX/bDKabzJOzxg5d3czU6y9+rSfKm76QV1FS5X
kl7B7ck4yLz1QNxYi/I+mfo7xj7yftaypddZ0lnDQTiFZzkNQaNWiZXpWR9y0+1cGxY4RkZEUfQ+
vHsUafKb6OY/Y9afjFldkiH+rpxal0Xx+5cu/tJ339dU337sj5LKlb+4DAeYHqhrQSX/0hC75i8I
mFyBjonxAiOJ70qqawQ8qVOOxSTA4xd/lVTiF6YUpLAANnD/sYb4G4D3O0WY5blMXJUg40q6DB/e
l1S20sw3QCQeyiJEV4tceBvNhb9mK3/RTvrZE4DVqxKxVYFObU2iW0vui05vPAmWRHTeBW9KemNk
XYq4MzsNtF4w1Dj3iqdslQkDi3uCpkD3Fgbgvph3lolmog4rk62r9ncVdOe176DZQzR1vgIWEfYU
3ONeupW1O60QSLR0BASLM12XtRB0YZK0fRky/9JjicWDX6q1YyefIWyJDeHxnD8xNq+xxzfHamhe
JK7O9Qzxi8IARVgeuM/GKB4TU34eGl7esauXrIzfSshjxNO58ZpZ9ZlSr0WAxedxqqnbiqZ+cSD+
rTr69kS68PGKsCWZiObYhgbUsWk8Kpiu2wYtl2ZgTBl2uIuYtL6p1JhWDky2VYn+dCMYN64ypi8r
i2RKPgKXQeBjjfELBUTQg3XjPQyVZWyjgH5OH7FTJhZy3zILWWs5nq4ZAJw5z3bb5SdpaXir2Mcj
ymEVMoHmElSZSWOhk/M5LLMzTu5hm+GlXGUhslTbwlNVjPAAeyrmjQkRYcNA/SltF9yNizLVL4s3
XaDcqU3EqnbA/jDSZmAtzMIvQcZIgQCcC7robkvPG3KDoLsW5QlfMGjHVYmPDdCc314CL0hPJIlC
nTGyeVfNkF9Gj6tntrzoaLtHTxqX600S1xqli1W3m8oFtCk1yJYB2Vsj/MvowXJmTAPQWdjnIeZN
hUlqHU1j8dUldFfKMJ9uXJ+lmFVebAR6XeyGLtJLiTS0bNXWpZIAt+5MXCZuLGSyFFa2fc/9/Db5
ePyQOnggWOPPKPn47md+lwSYwQZpFJux89q1O5T8TL707iWVgnJhWYq69ddo+F6u3zeQGSDDGbdV
N/J5QxS4GPKZn5Q1x2r27OxGyPCNh5y7GnEiim7uTs/lVimXZyGsO/2URfzW8ZLPpuSN8OSBr6rS
+L7ncqExvOiZb36seU5cFwAjbqH5DjgwRaPbvriYLdeOyzfssZmsPJ7G68UA+z2ATeePVmn+OSfg
dxsIYJsMFewtnXVkzGkb3GhczI95C5dLVWOCBAjbpsm4fzfnSP6RviJKAL+3qcXAewij9tZrDbj5
uPpO9PniNWMAtU1dHko9midIH8Wq6EvuMmIm8UMX6Z2neFBNwULgDVG2TXWYgb9N34irjc9DREN/
ebwQjM8HITnXTFbmUX4v7KgeKJBAPkdt4QNEi0Sxn2iXMIdcHsPUK9fX79ZYTINGgBt7CJYlhFug
qJDqmlCP1te7fHbTeUeF4+/b0EqRBGf+zqE1Rg4Tt/P1BljucB7xc2zNxd7ULGMwlhC1z/58uH7N
XT+aPAfcRlNKG2+AOflaLc0We9ESzwavVfTSOAQ+0sXEjj/Hml+MMn0LU96fb/L0CIzjKM86f60K
GdyIpi9OLpCOe3sC7zAmn42QCHYDUMgJV2i6zVyeiH7GrhfaPKcAZuRJo/XfuQ43WZGbxcloMePN
MI5Ze/PXomVxkPTv4sna+1EGS5Lp6SmQiOhRWeAX7RizclABz6ba5ggGZBGmE6Q4xbk4iJL8DgNU
3doNJYvbyFdnuMBTgl6dI9P39jTD9b5CZrGt0I+tSVuu1sBAkav2kqfIrcpDTrV7yF3wbNe1Sfmg
Uq8PLadzRJehceHvjh7shluisa2z0omGuWrQUQWSwbZDa1nXEyBBJ+b744S/YTBYnCbOjfTx0jfi
5Lg0mifgeq1JpIR9zEzqoZd8r1bhpFtr6tqN4dksgZZd04c1ggeOY/nGQcC294L6reY05OZ9suWh
h2IXs55YRhbvZNN88QT0lsLAxVjW7jM28XKbGtGDMXKoK4EVm8Q+33A8hnJm0AqXG6fXYqsIDSNJ
bDJIPJ2z+bfUBvWycqgIGCt7qLFXOPCSz4rpyQaftY8vRKiLHabZpvXGKrnTYdvfxKPgKzThHQZ4
SKXVbxNRQ1Mr4+4Bz6JDrDf0kdDdNe00MNBPiXSYyOdut7MVVRJJd23cVEH/asBr/tr6wxcrFsxs
QnNK37zaNGZEgMZMu5Hlfzx0hKvs/DzliLhqjBqPZtLwzCfWYODRUQA0pRfc+WM5G7uMETdoARV5
7pEedpsfOvqzxosOYWtF5IlnALd8kzC9JpPOutaY9e6hOCi9DYmdNR4BxSPAdp3Ld6XYf+FSoUL6
zqSCKcUlm970TMdxAcPhNeDffyenyHyDE0rZ9NBdtN4vUNA4ZXMxC+/SN5g7bApvhmHc6X//uu9a
VN9eF1eYUIjjsMm8a1H50Pk0LOT+IBd4Mq6GFqxP+rUYsQNhoHr7+1dbLF7vqrfFoYga3pIIit9z
qeYxNCwmLv0h09wgSyXgMwXbhgYn+usr/ecQ8JNDgGmKpaH575uql985BbTt779/fwb446f+1B7J
XxzQn5LIl2t+7p+6I/ELvleTUpLa26TI/0t3ZDq/OB49BcSVwpLYgbnN/uipmhYHAKJ1yZvwOAXg
xvonuiPLfae8JNuWubr0LTKb6M9y2PjxQcH+YhrRaBdHBpOUNHvG+2EybJmlwj7qchBeq+V0M546
pREctLXewPIx924YuIc6t+A+20GbbznqyPuWmeNlSkW6JdCs2IShQ9DU2HCaD53pJZ8mZJwatyWu
v0IeKQKydY8PbF2zim3BJHzti6o7QlAN93ZcECfnpfVaBshL5pm4Uz2QS+4iri9XQC7BrEZ1vs4K
DwlPQnvFqmrvtWja/MiIG+xD7GCPc4EtdYNYD0kcfsCh4h0KHWcY5MyBkXxrdWi5lVO+AKet92ow
5puWgwUiQeU4n2k3VfC88gqNQk4v4q5sNOb1pPNOUzKLxx5j2abI3PPQS/9OJGYNECUMf8uiFoCr
mQ6H2e0hiMc1C3dC3E3jBsVhjMkybEx9LquSY0Ohip2DrRHNxiA/FK5/ExYp2IwpfTA80G8ubvKV
1KO3zejIrfq0tj826Kmo/0iuF3gQEWhN7bFvZyoNgvlurDQybrIW1FmqajpoNFQ2bSLKu9qJ3Ghb
g46mrhv7i4wra6vg1p7CILf3ViXznaqB1Ym5nZmCI45xYyNYAcC9OFM+fdFp72zbEchZ4KbteSbz
C4qFk+0cwi43RjXpRytO3M89otkK4QN+uHYvKzM5gOxVe1P5wTMVfblLksD5Susy1Xe9VskdhM2U
rmKFlmyaunwLE2bYxFA6Dq3TNPh7VLzRAhQ8ngqFToLk+QatzGevKca3cNT+bhbFRGwqGQBbnhtm
AXoEZwYp6inqJRiCqdSveFwF5x44X3dGmQ634IHJN6LDH3F6Imi5Clmv0TmBvppTUr2EU3wAkV/e
ZaN8iiaj6tDDWPWBGJL0PJXsqh4t6w8qb/xbq0bFxanLolsTSyN3D73Rx5o9OZ2HlU9sakqs1DTe
0PHZJYWi+YO5xdzBvPTWSqKAQEak8oNGQ7EuYDeEK2XRpoNz1ecbwjUGtUnqENOGzGO8OnP+AAH8
4NtMM6K+qO8aR72Ca3aDUw1zIrqtZParEzfuY17a2Pg5ZR3buLcCtcfZmNDEHfyx8L/MFuTZbRjo
+cM8TO0DUEAvJ3TTDOaTVYCD8Lr+CTaMuWiAo6bfZql7IeIx2fpNL7foYHwcnK5adAltBoSOzu9j
BaE1GdcxiSmHCv5h86RIGGGKDtOdJvEGrVzp3hRgMVqDwQa+sw8slFz3fKiwcDlJ4TTbEpvppzmq
x24tKiO8r7Wbu7/CFKC3gI9PyzPZjn3wFfIxCrt49lescBiOLcPair78yJ1rpyvPz0HI+Y0liRsZ
MriyAiXJZ9cIUA95xSBKVBbQfjia9z24WQTd4SpAsGHdjWHuP+e6sl9T1PHcKQKy4pGhvhhWxWIz
KzrX+qots0v3KsA2fQAT5oItNGKfAa5kBLUt7JSXnLNwGS9MQl7I+qHHDgaNSpEBfbxn7eMVu5RO
80r5wJg2OWhB6NmI9MoPrqdV6dA/qSOzu02z0RabshyMVehObriFU+98mGAY7dCB8VtOUMmqsbnG
awfC0SUbPXXbOGi8YKw2NQiL3B/3iWU6d5RrEMRjUn1IBAo2dppZ3Vr16LfBdER7gl+8fQno6qFQ
2WkOGRuuGmmXpymyo9ugqtxdOXYWzpelKFoAlRXMF447qy5x1CI+39sG6gie1YT1K3TibRMS9b2j
tyE+ooJIto5qZ8mRzMa4YxTFvRv15aM3uM5959TDJ5vMCgQjpn+LOouqvW7kJp2scN813dxSOfeZ
WOWA/b7Uuv7MHtXcw6V1dqO79KqHWHgrRbPoI/FMwW4CrfVkW2F7tuiXsjkU2ZGSuf1AEgVlLGjZ
mwHmwxcaKDaiMblpXSfEZpUEBzjP4iV1Zbxpwel9GmQN37dDxnlI7Hq6hYSO38xW2HHqCcXLqJPf
ImXKG7suh3srnHZ4b4gx6sScrDuCu6vFmGptEdXMD/TNk23EaarNiuqJtEzUTc7Q7yUElD2GAA4q
iRxH0MIMJ8YMTr9r+Sj8m0l5t7HJEu8zK90gZqQnxet/xAhrr9QSDhWCtnugQT6uhzni+JP44d7h
A+wqvGfZSo5WxNI4Wy+mWTfshWggXgeEYHfSneXvQ6/QyCLS2kI/lQenrc1fF1b5VvlluKkAH+1A
fVfbBgHafSrG+hmFZH3XN13zYEP8PiEdKNZzVCSnNCJivjaj4T4tQXLbKnMWKNhv6GbiE8T46FdU
xuI+CCSJyknrUAnksCB7rxTrMjeB/OGz6jgZ2d6DnbjT3ldO80qQ1LpeWkgotrpz09rk41i554CD
a33GctF8K5O0/Dy2IaKYKRe0GUpxjET4a8CEdC2LXFA8uCTMYdPYxiAVvZWQxstUBGJrAbq+s+NY
3JpGC6uA3R8HigE5Cqmhlawm2T0ZCkzZhtla264sd9r6xohKepgcf11Dh1jPPjhDmoSqgxDqLdof
kToy5G8TwBZNpEp9M3QbyNz2q5rIQ5msKCFuCCEXu1uT+jlPlaMjFx1d4oVseWGOnu3SOrqK/2Mt
+G9ZC1gPFpnBv6/vn7rX6IfS/tsP/CmZEECIbfgbnnCkrfBU/SWZWExWEIiJz4Pv8s078Kdkgv6+
ZMfw3L+0Eqa70IyFKWwa8XgQOHX8v//zgzG6fff7/1X0+UOJwLP9v/+bU8APJ0McC1ip8HiRa2kh
zjCXc+p35190rjAMtKfv/IW9kQJoqrQGCzeyoeWkcpCklc7rIQyr29Ym10RqTU4FFcyDrsFlNzVD
QEAM0wMxIv42j+UEiULbDzlPPiVUmU1ADSBcjKIfaIbljhWMj9AyYRlQ0g+ebz1FwQRA6tDnjOId
2Hd0P0FDGR98AEP5TdmgP6fnJWXpvSFA13F/GB2bWeAxdHsGYsfAnYzkhtS9evhYDVzkj0ZBnUGT
KVLWNkywI9xyLS2T0T/lpuBlWfQqAYUvX/DJMNNBKTe5hUlrzGJyRPKIRDJFGP1YOMGlyBVzWIa0
iJUIsc7m3viMDyomG8ZqiLMHt0WNxxh3aurjzKh7F5X0UHwkS1iAcipf4vEYHlD2wykdYLCvffgM
qrhJ0FIsUGjUKvS5xlEM9S0cqsX6lCw2qChMMUDhoB31Jk2NUH80tKSltxFhmoS7wKpsclAUWot+
P3zzV0kRovpkHcI2nE6PToZu6q5CU8DpZ5XbSuXDf2RU/70VwWYc93crwq+vbcThs/tRSoUgafmx
P9cFiT1IolZiUuczqluMQ38c+xcp1Td11VUq9eeSsMDMlYUtnB+CqrKkbv9x4rfsX2z8lwAzsAhZ
C3Pon6wMP7aMoAThfSIzi4WB/oKiJ/HjwoDmqO6NtneYrGT5vC7iqcey0XbYVsa6/e27C/PTLtz1
xZCTIQzD1eTwcd914UKbxr2LufMcQRz6VFiluuhu8J/TuKMchvFQfQrBKL36A5HV/4OXpv/G2kyH
jIv64+eMjVROHXm752scRuE3iBLInmGbBjlIFe5NFPSIfpboCxyS8U9M/stf/1dnbvnkriKUQCye
Mr649y+vzDgsfPhm5yw3EIF5xoCWQ2DmqW5IlOLlppwN/+8/8pUb8C8vyq3COJnkU/d907OoiqAP
K8aotirUpaBoPqrcmUmioQn0XHW2d7LiJaehlz06uajru69O1cb7zHC4DjWD4H3lhkRPtsYSEzjP
s/XqeAplbYDvQN4OVQB9KZ6JrgNbKDmqTFlhmuu//xzvAEPXa+fQKbOBlHAet971UL2RwD2cUkxg
e4N7Bc31ccr6dNp5LXKSaxTMlP4065dx+798Y4wFMPWxlyv+/8cbxjGEm0xgTc+JHOQFaAs1K7kx
byKZ6jNCpOnRtip5b7s+qYk66v8Zc+56x5gSE6LLIZX75v2zMvh+gTBxkmdyNafHeHlgtE9AWDjU
8icYHsli8v6zmjSMF0sjL2i/b/oF2u0KIXp5tog3eTSqqEh3QywXpLNptl9RFVqvMIWXp3NJNMEe
xsNiUHqjvISK/Pdf97+uSGgQaHPCWFucj+/vWmUZpV8DaDn3Xc1DYkGWLk/4UThkx0Xq/w8ekqUV
y3PJfxGTLpXTd5URUxbSuMxBcWSgei+w7MxrDmnlbe+K8jZvSH8zh7a8reuYuxzGmrzP8WpBr0wk
qX0ymUEuOMP0GNb2RAqrUN6pSwd/KzuqJ/hQJKcWOuEps72Cdo+PIC3b/f0luwZPv3vSXaJu6Nqy
VVACvXtEkiwMek/78hzQVqx3s9s0h+t9Q++s+tQ05FwhVmPJ1VzAHBD3NoxnKA2tBiJV6ZyGQ4wk
NdvP40zqjgyIB/Qa6Ll//z7/i1WQOQx9b4F900Jf8uO1NoAFDU5gybM9E3qxul5mWTXVJykCeamz
5md3NlXyj3e2I2zuavZcmub0pt+/Yt6FKhGpbkF+m+Wt3eX2KxLV5X9MNHY9MacPGMrBaQVxEOAx
HBJcdSP9w49xvzRqTOwBX81y4E4XrAAMZ4m/I5bxZC33xPUSoapj8+KE7Z/awS1vNYEhJJbGBHm6
fKBZ9+Xt319GPsH7j8Un4Xs2uXOxeTEX+PFCzl7qw0bX4RlRogZ6p+dmk7hG8oFWn+4OxRANI9rF
AYyBstFX0v7Ig2jnI2MllGs5dqw1MKe1ShTkhLxzd8NVbBlBHZfrQoZ6mZbbwbwR5gwnhMAK44lo
p7DbCIJwG3oLi34Ti3WEfEUJnoxkEXeyBSw6zyQjWtarinO/KEC9Nk9OKvfK+yEJXFriZSMwm5EC
8SK1m36Qpc6+CKYNm4w6gIhKPRNzpach+qqx2Do3nY6KTdyxf9/AU0QJUZtJ9UAmI42z6SpUtRbN
qu2iIFoNrmtUz32RJePGDFz3o499QaxqbCBIodVQI8KzQ3SgKLA0SMNOeZ9rAyMViQFtl+L3R723
qvveao6q1rFxDDxpnVRIMiVicCbyDGM+6nGQRJtilGrOxkhKDOavrrDpQCimE3kUVtWDG+ZZs6YB
EwUbqLf+cxj1bLsoIW5d3fPIOfiHt3Ue0aijNPC3ruxoDdOetV9b+GXxuvBYbSgBWYiHil2gJRoM
H7TbYngNzMIAzRJktJIkKtyTl7opaS+BjKSHvOmbdti8ConBI9cnJL7Ii8NvWuNq4S5bYRzdD6nf
ffGK1AHLrCKBOSRpNr6Zh/eNArLa4FTk9Fh9GoWYX2QL6lkt0Geof+ozgmdIM+Bg9oi1gh1HqfI3
2i32C309e1VfAdILSjrsF6o07KJiI3q+nnVE9Pueloq9ySUUam6sXODwJkgHQLVeWNUe0GqrFs56
4qRVXRB2A7Ue0DBAuC6+4a7xOwqfGyDTpbvJ3SWMbtUh+CQxY2XZfgDXBoTsqGwUAlZsAEuMtUFW
6AZNpF+9AJZyTN5umhTgzcnM9XaGWIqf2Z4eyzTlShOmUt5iJKcYYgW3Xmskn0jDMw7Pqxwcx9Nk
tHxjOujYFLQmN2xwiWYF98haEWvuSkRtks3UKmr+Dlqm1SfG8HyzILj5UuMEs5UQjUeiK0KURUDG
Vw9I7VMTW+G5d725W88kPrwG9jiiQBDUq11GqBuuI/t1Cmb/ecTh97WdI+voICY6GehgTqCQOKQ3
UY2EgycUhnpu8tfr2ubNceIobynrgufeQdSRAr+7BayhLvjPlj9UZv6p6xboJstZENDP9fNwI+WS
6RoSZdbSiabwUULwD1DNEMDu2VycRi0ZEHAn+RMNwLB7hhAsMRBLvVNYAyD13XJ6/EPFbLCiXtdI
ajjvFNhsom5SN4eg9Nqvtb9cyqVFf2nbnl9e323e97TIzdqaHkrKTqzxdqwf6mstkmaO1Xwo8rQ5
hOEg7/uZb2Qg3PNWq1FeBkm8o1KJfuxjjhvmEg5NM5ntuZtISNVL9agV117mmg/FI8krpRH5tHHJ
zZAsvxoaXbWrMKH6FOlgv5K04kOnojyqMnbb2g/rTwkZiuZ6goz3eC0U5rQu9M2UZM63hl5C2Mmn
pubN0K5NiGDHMr2OKYeOzI7EPc17Y+2UAR1OeNrliduI7+4aZV2UNRtPW0JNQ4D2KBJBEV6Wtb+1
EV5+wsHIbq5TZTTbQPlU6e28BLKVjgZp1ja884GfIWuVHsN0qo2GtLRrgdMvpUpK0MPXb4cfcyl9
dIIyfJPZ2spQExN4vHIrZxmA2No7RbltvUYuWu092w5vsFIMPxGMQETfIlMOPmdGxIsX10dIBnYy
7QZ6JpRB7DwI9cezZ43tV6jyfEcV2byq47d+KNmAC8tmbSuXo0pK72UvtaQwoKt1dPim7wuY1Uc+
TnlrEnD4GGtsrBDHM97t0MfEuo3suN1ye9pFJu9FmLAzpRZhsttkoFy1AMX2dxU6ieiQQ1SjSnNQ
eaOonD0Y8PznpAIMELjtUq5ZJz3/eRpi95KkXp1tu1rEe4aW3COQJu1XrHJc06lC5vhtEUgzc3ok
QpOrkjFKOWGMMY+1zxNWOcvL54gG18ny1GedrD4lEl4XmYfNgXK/PpBxy7caK1QoGRs512GkBPWJ
kn82FqjnpEPntfE6nleR5czY49kgftTmiW+alndyvRMtMIjt7RizBNggPqatbDIWHyusw/bBn8BY
Hz0skMEqqS2WJoU58JA39Nrjbp6Qs3IcRSjkdBRFyuupgRRzr49aJDbBy4m8KMPjDOAnHEOsyZOX
kVwk4qmVlkQmBIlPHGfsV5+csKJ6r+VItOfyCdmJqJFbhxWoKRuai8uBFyR59WmWJo9oyBE1ZukW
q5Ej7aWv+YclogdzixyNFEssUtm3ivG6bepZcEdVmYEDwov47LNd+adCeYSm9woSHGHKj9er1lTD
5G+SUWbzplneTuTwKdKYKNmq73heiyjEXptCXhWzNoONa84mSoGMzHObZv7XOk55uJBMszpGbYNg
LOKWZxJKm/ExigPH3I4YZw46Rs21tf0+sx+nZlwCw5lxzmujEfarNS0rC3/afy6WsV+W9dYxrUuD
4BbfG7Mbghz4aaJAVP1RCjVyiwQpF3peNpc4ua59k0qMfRlKFnlKkXA5klukOaOz5Z64XoBva9Fy
cIeUzrqwLKxN6LLjXO/dIFzsCzCbmsOEEupzwzZ0vt6fluqDfUIjYD8UtZXeofnlFvFE3xyQ0g03
UaiZh3y7IXKwMG9IclPEt83QHIiC9RHbMRcNSbS7XO8KB6jVvEpVIO8dUkT3si7kfWIv3Ya0NeJy
7RSFLFadXbASwXswCPdQNCEaO4nnVbx8IGPMuftiyK3rxhr5d5pCiJBlLKP3hEQ3B245ebEjpxw3
yN14skBRsMOgvTdRcnLTIA5ltTdj+cGmz3vmpM5NLQwJWKQbWbSvK6CVAgFj6uJysUkDXbZvJpTI
QNyRx2bZgLA6h6bGXDR0LApQpgbooIZHonXRL+826TseM7PWvG6IrfUxJ1XWWVUc1Z59hHfPoR3y
uXs9YBYcFSz9DS3laaGwGBVuHenFEzjioYg+yEWXcSwWt0cjFrCgTT4v4cNxyd0uZDA3l87uKUJC
I/Wfr/Piglk8n9f1xwerV+7H3pvyDwwBv0RGYKzB+7QHG+PiyoVbeDumYfIWgjNbuQoRiulwpF4P
JWAZc2J7ZITHjqTjcV6TzNb5VCjaeU4TzXWOK77Q0h7naW9AdN6JwtMDM84SIMYApZ/pX3JngvGS
kF7s/MjJfjoUEtnHmrC34i4ozfLNnzLqBUdNLIYUmVjMWoX1cJraTtzUy+J/A1iFRqQfRdRUQAQ5
wWTMZo1S0YWhy9av6ywYjY9hovh60Nryv7UvuUimDcSUDuC48syRBadZFv96oMbJl5KujjzSYMAp
7kngMNb9MtK4HpQBR3NhTJ9H1Y/qAudew9sLZpdmkyqpD5hl8E6RcvL3BcxrP9H9L9PfS2pMdhe/
8rfJsodLhsPPyNu5g64Hw1CERXVDbCloiKZjTSudyQ1u6acBKIhK/xTDsDwuZsD7cLL9Z0l86lc1
I0t0CLY5cgbjey0cxf7ZYA5nchKyWs1OrC64CbL1dd30k3SJ+GXD3F4nNZB2WdSrgFB0ACdxvsEQ
xxo9WdWna4Z5CcHgtal5hLoMsUEcGLg1SnvnhMvKPM8lOxBnu+ig7Cj+3Roc0d7aVc8T1y3iGJDS
/sn4VmHU9EiWlOEclpt1hJUm3CMHtqk7tJxvEJv3zb7sWmKPFmYgZ5XOfhXpLC+eJ8tbPjGrEn0e
LomLRYxLGyhOErnDxuIM2rlEdKw3c+2ax8qeeB7mcFkOriWzLfI3B7DJii5ZLnYh+ePe1tGd2vHK
0QVZyvQ0gWEiDErHT1UfppuWJ4TVmdPOvGND7Ikrd3KBjNiqjIfmatOjnMayZzbmdIBwYHzpK9P+
mvj9/DuW/gGO89RSbo8ZSTOOVreyasVJLv6/bHECItzDFNhfDYJ1XST1ti6n+sY2p/g+djEHhIkT
/5pXXfiRAOBhWvc58ph0sR3CwNL3vlkFT4BH0y9lrfmb7KtDMb66FckK58SakQAvF3k2wm4c/s6n
a1vhP5rOn2g60VR69Jz//cz37rXR2Wvx9fu57x8/9Md8x7WJqyUv3XHobNGZ+Y6g6fqQ5gRLvc2M
/zrH/dMpb/o4vnCQMPx0bFC4pNL+OeNh+guzFjMHQlHLXXz0/2TG82PbDYe+QDrK5INYAsJLGCf9
2C0qRJ80GIxh7YZEa6+CwSpOIQ7cpxwDISZq2/5JC3f5C/9qR15fkN4UiS6Kd452/d1QqUMwSaSc
Q5r0lDRnQSQpYZXjzzrkP3bor6/iLQw/xmNgJZR6103sbEre2iZsVpMHtB8VfXk0TQMHKqvCRjGi
aWkbVu86MR5bJj1P390DD98+zvczdUCB//Ix5TLQRz3oKS6y/26c1ffaI/7T7Q5A9rJpRzzjvGO+
JQ6DxWgFxEnD2W9aCheKC7mqAjPgaFzFuHoYmtsfS0CqrCUBY/l2jFjcQmllK28eUzK2Uv5sVmqK
EjMzaDJMVYKVC23t4rX3tH7DF5Q+momXbmaSGw+kdJMA75JcmDt2/RLEJHsEQ07dUYWQKmniANhg
xgbSUtTMTeA9VPfNmFLQTxzGO7PHNwTh55XqPhZYswf9hmx13oFXG56zHk9Hm1x9Igb1WBB7GLSx
b58iBtK/RTHjCRkKfnCcOPe09WLocJzg0R/cvNsMbUVZs4wZcgDHNGpxicOj3S8BAPhP3MWMhUf/
otEobOD4RR/sei5OpeVD8cpCBSvPjZszDmy6RIOLAhDijbdqUfXczSywh0DkS7sPmhTa1Prc5h2s
8B5tELtJdrw6kKTZDc+JyIfnOpmdj3w7aju3pIITC4nuGOTeF13igQldjGLxWOinqAvKTz19X+LI
qkIcUEvwDI1NcGN2BYc7YisOmLj029hX+kk0/IgWTfurU3K0CSY29zrsOMpkc/tr0mHYmUp2/Tz3
uCKcn5ANcSAEdecw61+Rb15t24p9nQhgtS1rlT5WTuQznCMALFFl88XCOgHlRQLapvoBxWpM6FML
q6+/TC2Ps2d0uGTiPjuWOKrutUvtMvUJB8nWLJpiKwBDHSsgAsC28MO4FjYtAzn1I9sKRRnQpXv6
9qTA+OHweypI4cW+mO5yju0sGrL8LZ7q4TmgLfH/2TuT5biRbE2/S+9xDfOw6EXHxBg4S6JIbmAU
KWIGHHBMjqfvz0NZXRIzr2TV67uoKsuSMiIAuDvO+c8/XEXtyEfh53MhKi0nmrniiGbuOi70Zjda
7+Ys0XSx+Nn6cM1WfZRWqBSBm1Z4F4zfrSJTFyqz3ZvE5UkgEApXbi3UhuxhXOJKMXBfi0S8BCUy
mHmK83zTz0ZW498Tx/e+GbevBPwtV/WUqi+YWWBc3rAZyq4tdgas0jczpxnJXOwN0gTlHX5i5Zqk
SnOP1S63Wi/RkrS076rj6pezmLFdeBIuDeaFa7H+8fIVT7ACY9jTxdPEnPyYZl11k4Tv0EtoOjOj
8tOVjCv7kErv2bRV+4iF//CQIDMHyWbWe2GbTbhxXbK042D8jluWuBa5x6Kc8ZefUx6UHxg9OQWu
uBGV495E/eTdDHAOP9eZFE+D5xO817usVi1RI6G2eXYqT51yQNZPc6hCwSwuxKcbVf9LEuJMss4c
vCaiLio254sLUzaBbKRxP2O/gIFURvbKFCr5VUijuFdkRSIoBNBcW7BUjzN4ytqfzGzfNzYRPHMM
Yc8j1PJVYNXAY6qKAZt60PZHgmmiy9xUdCSMjFuImjZw6VfmE5gKPY1NPfWvWTe4Txn8uiLZj85S
u3uQBqPeMq2fhivVTrF3xFVjcO9JDFQrAD71xQpVv278gWmM5c3dpm0XIgcIEDNXvW1H9Yoyk6Np
qK+HJkKYwApDm1Xc9qY07hqzvDe84dpFNb8L08C7W6DArrxgdq47L/nEYOO6QsjELINNlNhLeqjs
4gvEJ2s7lISaDq76loUV6abj8FakNhFkdfKKZjklNc4HF7YGcUke57TFf2+GMJD0RPTIlqmaJLGz
jXclQNSRhKFoY6kuWJeBh7WUSLJrF371lRGJUa0Jxz76eXg0CpiyWdmScSfIZD0gAiG/15jdNd5r
HpaAxdisqrJ8x2kB5z7Hq6HkSpe5j1vfqzrItnZlRKecocMV+MpESDcbtsUw5ZSR0rgdiFA9LIoH
aVujecAFY0R716i16J1wS9Q0JlwOPnJjbeUXqRkg9DQq8zR5WbQfEusTbRpSSBSwl1YdOeXW5t7j
QzlNPtq+yFhW1cIzXCVlP+5tkQU735qea4xCLgdJeCUR3sMhmbA8oS4AkvdicqNVLMlbmIYLWmPe
ebzAQxK8ec3hbdVvoXu393A40Jr0hcSKZiAQgbyqfBWF83PowWmenGI+1XMyrsKyKJ4iI26CtT/7
ikigMZtQbFNxk7ZAcsLoOlSITntHdRbu3IGh80FwvuJywiECzb4QNvpo9tWViyT6NC0EH+MzaB/s
WSBTTVN2ldwmaDTxNGMFYk7iHYXfzV+WycmRNeMnFkqEHOUGWLI5Wp2/vAicUg+2qpbPgqSaBG+w
iLgeLzpUQ6xus8JZNmM8tMeiEiQY2GXFci9G1MZJsZVYtdwF0i0oDmCCrZJuIuVYhKAOY7WlV1pW
E3mBG1ro/BFeMrZrppp2bkxDDu3N2LUpE7ghqe5Ky+BdnpnTIcucGYH5OG4S7PQeyjCxLsqMFc9w
KD2E4xzrBGG8L6IGEU8xGfdVP4fXVruoIylJMISZqaS41Pn4lgEmXqd0yJfR3Nv+2gV3JVAUp6ZN
5abFFXkc1oFsG41up353KpfYeRqwGyZfxyMvFkixlKdUJQVoKGkN30WlbW/doPaJEwWnJq4bca6o
jO4Cwab3RHBqlm2WIssvUejI18rJffPKki5jy5XFvNJ7ihAD7ae0wGrUbGqJ7HKmEQ5Sb/zWgLOu
+3LSdYFo7xCUaNH8WBP4PlbZidRtAh4hQeQBy69KD50zdpdRKxt33c1SlivsQomxr3E+WedgGzfK
JtYeLrP4ZuMUiY2MUIV+Nlhx6hIpzx3eQ6W1QAiXNa7GscfhLHoELshl18lkg4Ew8EQ9LziF32v6
x41QRnzPcFDvgYIyISBTKwbc1alQaVahiRLezUKA8r3RCMZIY+YQBl1kBY0l9JF1RZGHw4o/i28z
iYhim3o8JPA9BmoDVeGP4qvNgFFySzG1yIMcwToep9TJVVwCcGAJuaUM9T/NZNYzOqJgrLf2iLY7
T+3ygCKjviw7RNg43UwbBOMcxl3OqAQQpiXB15O83AG7UXGShvuQ2dhyJhWVBtbK4jpZzr8iah8d
Q6fxxG2rD2XMP9/7nJokQ6teHqK2tW45Bus3R/gN5i8JgmBJmXj0E40XVVpqrgiButBJcg/kXfPs
LNA4PKKqTl0kla9OjPG5/mGckJzxLm8otp6EJHlLKl3+4nDxFPRzebAll+AkzJnCalbvITzqC/yJ
m22dZxEj/QlHfkWSAFIPvPsOBXF5d39oIj5wb3QXAxAW0jTCDXNQp37olbwBEnmpwKtmptprFQCz
MROO1K5RBIkKEs02UeoE76Otxn1GwuwO/PIlzMXXqU7gqWNYszU8vJMHUTVXI0Pbp1HDbdniFCfo
Os6zjf5rvhKJqMdTl6bhIfaRv5soRcms5kZWPMJ9EmXejWkheurmijpBJwby4l529eyok5tSRXXt
MOGqwJO13cG4Z/TtfzK8QL2TFWAiMqhRUuDioPE916femJryMAwsnJRBLQ1MiN2Ai0khImdceTAp
1LzcHzXSXC/tXV22+llGulwqKKSiCgm6i2zvk+sUCA3mWFwXcKYu86Hl3W/R6iUQHR6SxUAsFaEj
eO6coYAvUC7BeNnGU8JNynDVNYAXSc1LitRcA+pgV7F3nHxwOsQHvSHdDRdU2w8N1JQVwgZRHAIf
iQ5qmDHbxIv+P2IKqXhj4rvqr+PMt8Jx5VHpnDCskm8I2WfBKUgthWVWrvNx9UgCyl+znVn8iGJm
SqhgtjBQVhRXtDHmnq6HpY1Bylczp8RH7o8jlmeQs1hF2EjMHQVziBzsm8qHYtdlIJcDzrQbs5iW
fbz0FHKofYaHPiufA+yq18sMNskswck2HYFdFPPcu6iYmNlD3cMuw0uN+y63gSrZsHcFkscLxJQI
J0KvLw/wAZsXxhTNi6ss3sl2adto1XmeTh92t3QA4aXCh3o1TDRbflmTZYZz79d5tpyDCTvjudc1
dZ1GpZ5IwEBxl3JmPF5OA7bCSXXoZE61SM4TBPAsuKucbngwtaED/MTmxZOMhUyXylZYdC0bJC/s
PEib8qud08jjcy+u+yALUBu6c/PSxzUK7rCnIo1dl+Ak1CTsEWkOtQUngj9EYtO+kojMXdEKEklV
vvJwb9jXKWdRK1rQEHtiq8+RPrrOdiWewmEDs6b2cVJBeGkxgnuWghFbAlPpmKkADwn43GjIK3WB
D5S3bsJ6fICAT1s1wZoPdecN1UxcVwV9eZDRnoRTvbyH7NKFSIsFKNavbsc5EN+gXNLmmB5aVO0s
U00pShSXD60NXbDoXz0zf7dWiCRZGA1DqUvlTOXB0lt1ppPlRVIwCKNJfUZ9NOzmrsr9VW7i5jGM
GR2pbhqyGYHTJp3d9g4vRJ5Mk/MKOJ+Bok6AvOmx1anAtxHKfDfRT0OKWgFocXU45Z2WxFdX8wiq
cV6G9kzry/Juzf086Ki8hE7Tkaq9O3fatcPyqaaghOZAx9pWdB9El2d73HIR6EIduRxi8gbObRlm
D9wGt6WjAOjh1msAhdgitSsEjTjp3u9duKirhe1WrxmB8hKYZjCIMAE1MMVc3LfC1WIfZFPUh7wK
h4ZZa6uFCCkpVkxPSLw6zAtXBHeHcUGysAWbCGKAHfsM9ZLC9NZi0KO4nCWIlbOFaV/Fjknmyrux
C9/7xIvGJFHOH+XXPu9AYhbM9x5xZASg8Aj5eEUlTcS0iVkLrhD0y3bH0EI3tY7ncqzRScXHc4eM
t5q5CmWg54OLzr6qbJrsduGIcyy+/tw3B65OxyzAzOoGaodhGt/h3+gyJTB4fGXFS6qVZrH7sTQz
ICPMNspD3VjxvWmV9aVobDxZcEa4DHvZPjYW2AUqLbCMQdcoE4yQm9Glwl0nZs/hbkAjgfrRPM8J
fJTOBOefAs7ZZiI0YJV6bfdqIm5dT0WBzFNStm4l7mf7PmdP6/XcdvoYlmTVnDC8AAmKsoBao+j4
16O+VcjTeNGmGm2c2ly/BSiMn5l9VZwTg3wb2rh5Sa04uQkGRJ9Wp9cPxJ09JSYgkM/l4BxcHs5l
RcgsD9i/Lu6raaR7x9Fu4wcWtA79bsA7pNMpOKjjOPLp9wGvRsNzb4LE8HhVTExH2og73EKZ+Hx2
tNEqFLgXVCAubcj6PCMWviNX2cCDhEBfHhQ+opeLgx+LZ1M8VPoZYHlMOK6c8GLqFuaQFdPJre0m
I6FFlCeCsPBLsyntz0bFEDTmHHtsZCieUr8kIENHu5+hmLEHLAptEaP1TjGqngEyJKcJRkCGxIsz
JGGXacKyH3qKzIqNfcHkGvSJbMmagK+xeSYnA2CQeJoHJ4sp0XoKFsdnamgD6m152bN4zsfsjAP9
BR27OuGxl3ylm1KwfuxK13Fypvtn/nHb0Sx/IWpg2RtYMav1KEdupsnxBmsKP63I4a3lj4LaGoMZ
YZjx/TyBU9jlXGUHWBztcRIl4I0+KiFnaqMgpyCREO16iZsyaAMsAwdjQ8pdWlX2ZAcqiIBWXQUR
Y10cgYfvQR3PF8w/S+S1BRsXb3IElaSgfZMVQ/VVK5fywPCZ4lEQI2wH9fM4ety1JYAXYIeaBTkW
3IO+NKlCx6l9pCrBKnmYFQGgzP1whLXhEWEwZHLITi3lRNPEULUUAXTjwANXYbFcFTZQ5vkfzxuT
4B9eMQas+Vdv4p0qeKkccP2bb2ebvFCUQtlFMzVs6Mxtj0mgeVUjdoA3rggWfFwRJ18JiPiPzhSo
3SyL98FdGn+bShqHM0AXSPHs2nQE2GszH5+RjuLYugwXNHBcMd6P8Bv3Q+g+LV2C27VGwHFeF1sc
ofiyohnCYx/3zR9kDB9T2qlWLdwdmGYGKFCwtvvAih+Y4VY4ivd7NwMcJsli8G4COJR4m+E7pVyO
tjSi+O5he0CAbPCXlJ6zR1b1nMQ1vUvttEfpjOpUT6J9hGXp3oyZPX/hSFj+xIpmfiJ+HUNYiFsc
rPbQEMDK/PBjQyxvg9Fw5N7IHFNba/uflKAXw0w2vTEGGhPQCgpRUj8ghPTQbkygjCNMkOYlF0Cr
54f9+4L/PJX49Uc5XgBZRP8o5DsfZyMJJvl2hE8qIjkHLx3UIjHePkOruTDjRdcN6Ybufdky/QWb
gNbdPuaCp0sAJJ2cOxb3+cSicnR2IgnGzZvIMJwIodtsOWUpDI2uaYne8IzN73/5P3QqqEjOTz8I
ECZo78KfmfKdHRVNoi1ZCWNuj3EEbgNyr2W3MPfuSg2+Lk4bbkbOxGepeIuQxkxfOPTeX7OX/xlV
/mFUiX+R5nr/96PKr5mkoJXZL7bef/1bf80qQ58Yey2lAY5hC/w8q4xsxo64B0WRy9iO4SM75l+C
NPSoocO6hb3u2lh48zP+JUizmXA6AdRrH2gSFcV/ZEGjN+W/9wdCjMhD9oH2zeHTrL8pVdFQpcUA
qecHL65jRHnrWUhQF6UgaPQdLM2fbtDtj4/+eY73T18Y2KhsXC0R8C09zPxJAFJw1cIWlXdy0Oxv
rJGaa9FCG58Eon2iICn+/vs+ShL0BWJ+zv1ib2Pm+WFsSXjWIiOUfaegSf0XLBGt6zOvTnq8Kn//
VR9lAnwVj5pnjXaKIfLHwW+XTmkyFJZ7KjRdOAtQ1SHhpwQEpYcAskAfDoocaoXmlP7+q//hKllJ
qB2RQqP4OytWfrqrU0uCq2l07knaKGhILtKKIY+erILpV/1h3vzhaDovGlagFcEetmgfPuoh5qaU
VTBn7mlq0B3CVoU8tZpyE97e2AcQW2oUA+kRxyGYmaqDzwtdo2EwNpcZDGybad5/evk+A3foACEz
/MDVjq0/L6rcSqHkJrF7CieXy40qTnBTT4P+P78L+TgaUZYwC+fDgkpyxywRY7sYPE9Qn11Dd3bV
fD9oBuDvL0vvhV83p4/EKHQxm8Vdgfn+r5eVQRyEKTO4pzFO36Utoy1cy/9UAMaLmirDts7/yyn1
YUMC3rkBJb97It27OeVYQpL3SM7Y2oIm+CdhpqXvzsdLcphi2SjjuYUftW8kT1njYljOKbczeIBn
rZcVGxAFy47pW9gWkDd9xSbV2jiV9s4BNNI5/P7G/sMKhjrCsWfqrepCC/n1zsa2xdyQduc0h719
dHBuN4gWpU8RhmSFwtGstkVhdz7hWAOiy/Pm9bRYkxPkT2LZv29efoPrRC7mIBxWH1VTBXOauSoE
mxe3zPszpW7CsvME6TLa/v7C/+mrfJz5EPvpUu3jippFCBs4aJ1T5nF7oyhhyxLBwFEf+jz933/Z
r0c9x7frwoEJIpc3y5me8utNFmmPIVIrjGMMnXnB6KNDEkeO0dMyhfPtWCtOh99/48eCma+kVoIF
4+ObzAP+KPwVxeLaaHOjoxnT25NqCodQ4st47+Oufp8xOq62Z+JiGuYQoBO2VAWUdgoMcrc2OGK1
+0U7MJxPkB+sdLVA/IaIiLXXJtMM8t//ZO9sBvHvLYE43cc0TettUZ87+GF8OFCwJMgBVBz3KEuT
UDMdCNboaLDEksWA6xFpsskaXmNHgFiTC+VvLT7sroMHTpRTXkKSjZkoZKiEGYwuTtW/zdip+Ksf
BFwbuVW6gcQGYdyzmPHjBoRk4czPLEns2AOH9m+dJv0H8GA6vMqALCcbEL/XArswcZ1jl3MDVwpq
6i0OKsge4LNED/2CQ886ZYpqAXZ4fLQMUqDDKkr9Yl12WYzj6JA5OOjXLd8RcqcJRkRG0gLRMx1z
bTx5tX5Apg0rRLggqsiL+uXCgB3o09QiI5R9QmowgHCdHosy7d8QvLVPgahtcaysTN1bIVWLAbQM
LV0USfZsqYhHFiyOXxSrCSr7Q0sX+0Swnf9CdB+r3c1t70VZEVoeS+g3NI3sC1G/9qtYYns/4kV6
3/l9dcH8rCWwMSHkkPN3JNGEYIhqfRZKgBmySTUXA/teY00S03xfomx8wIYS9EGLVc4q1zOZFlde
7g8zv+BeymR5sEdUMCLSzOWzL4gFc+mtqBJAYB87WrgyMcSTUHW48gjF38IxyzkwqeFTKs0QXnru
GxZlMEjPb7maN/VOSB+XV0ZTHTMGLFdRB5A5Bisr9V1EVLVaAuw+KUzOcuKzTsjMbYi6CP/mLYbh
KBzOWo42a1k1BYYpL4FfcDdVnose7nKo6vVownzC0pTz0oCKLy+YDKJmtWetVacfK6ptB9D/5jcp
+68xE0VEyxJa16mBRm+jvAr2ONojoAKGlLxvfthvWbXDWiZQKnqQjIrlBd5nobb9mW+FFfIu6vsA
HboqeS+vkP8BURChCiUpKBcmvhlq07FpvRcf4R/uAnUXlRtPWd2nxFns/YJfZ7CxE999rsex/hwu
mboqgbg2rZwbawXd2Ap3VkbqXVYS/JaUWvUkGSVAEVqagWlE7CMkWLIJYBMJH8PVXF2TnWueGMM2
AneQKFpnnkSThEJrrepFfS4gK26JLhHiWIDnUBn5BVkgpqzvYLfjP53HQwW3uevfQ0CJg2cHwzUO
9AM405xjrELws8CASgtQJpMg1VWPNv3RL4tO7nBh818xPcEuq6/hb6EpSnZQBAMc1waRbay8qS/G
Zmiuo3y0JgBQmT4nWiyI05W4IgrGv0AyFZ8IAAnai1BO/pNADLDDyXd5xjWmOUIOShTmFO7yzMCo
2OL/t6ylNfIYw9gb16Dh9XPOdLMH8EGdWphdcKGLUdr5GXkmzsaVsW2pAVd4WlU7nJh6fTAhWGpA
sQbUCQeU9+KQd6ncKW9Q3+OkmbapkRl3KmqqR/gYhFCoul+JOiOLu2XkjKXdS9CTNxKiydnETJHX
w9hZu0o0fFBoIJVBWwkqEDfNquhw/QKuRCrXryFUB4636vAhSBr95MV0SaUb7m3HUt6mzsZp5cYx
X+SWUbxxh4RpfSMkCiIJ8NMoA/pHM3wRhd9iM1/LHcCGQtRivpYBWXBRmRFeG1nzThqxsxlKfkdE
2sUdb6WFZCGO90vfbUn+TkyeaIBg+hKqdH1r9oO4xQmERW3A/uhfzjJHw87ZEkT7evO2EaS8nvxZ
M95tB97LmtO2f0s6kwOpWSLrszIXlqzZI7rrAlw4t+EwezhvZemM9qPBMnxVoRpcGE0ZzVNsufPt
mZwfkGy472XE+zgcvBi5le02p6Yr9adZs5AXPyxDOI0pzLQvESM+Dm2JAm/jj3DMR+Gy9Qdw6707
u1hYnHVyQrBsST0cGzBMZAVPdtMm1HMploCWQ14ds/BUiurZI01RvCsxuloFSdBZGfSSsbA7fUc+
35IsXhjeV1zsCbJMI7mHqQn4DR8lG1Yl8NI3OfZgSFhle26WEKWuOD4ey8UYjE/ZIjAZCvFIvh4h
9q/9Miu26TS1+9zwl52CKvAF0XUVrKLAnb6MXlfdA++82+XyONuudVP0Nhx7IoxKghdxYHQHYb8l
fZq8wQ+YPiUDAPotO55BMhKSCNVUMC2w7rA8XrWlDI7g9rLZzFMpGIn7nOPrAtsynJ6j2Ty5baOu
Wkkalr/MGZFFsL2slc9TIFoEPOHBqEfSlnE8K5lRdi6khKW8abGhvq+ysF13DOxe8YYutw12cd+a
yB9PvS8WxAOxTRyyDJ1sXaQIvSdi/gjibHHHllHsbfIqdI8oq7/Fwpg+TX1SYPkxmFddlnjPxeQX
ybor04h3pc41Qm6TXEfw+6+62XOOBqi+jxIlkS92NokT2X+4LWbecILEa5A53IMZX1gceTuDYpY0
GCjF8SqDlTfvUmxLPvuFEPuxdpZPgMnxpamG5a5PSZWKxmR6Gsq+HbamlG52nInKhNLRYAewCuMp
LK79GS0ObuoDYKNXG5d5sDRf8GSyo7VRDFXNmDswCyQc4XQ98YZ/t8ZWXg2CbGo8y0FDcwkBRkQp
vAtGOM4h5XC7KFxMnlC/CnShyRiMd4k9Tngrnv3I8aUl+nHunRXsde+SKGuOUcfEbnrdipF5CDak
Q4ylXWNfAauDO6uotcJtWAYuB6I1fW9sf4h3kcHEBG6ae3Dd1t6egUU5BNm9rKz2ywBX5CEslbsd
obOtl3yGHBT4LoN5FDqrecmDDYG05FMgTkrf8BLgPdSbZATExpjB6eFW3Y4LfUrNVJ6BO/Z2NzY6
Zviyk4GlXg+jNwMJ3YWG0wUrTGu8XSsDXIAbO4vkxcDafSd0af4qQqd/nTxsgScfu+6dKfwBi/LS
gr6bM6bsVnGIxIhcnZYBeIrxwj7oxTsM8eRW5sy7iPCV/dGZZgLZmqZuGYgyq8Wrr+sw4KyJXC6R
sNqmH8PPTbTx7qLmGfODhpGzNxBkcSoGE8GpG4yPKdJaHACYJd4gYQmY+Im6vKmjsuxXtT0beBw5
PLUfqbnVjwzdOT0n6p7r9f/BQv+AheLwRmPy30Oh/6dEKg8W+MPl6/D2v//Xj3/jLxjUsqP/Qj0Q
+ozisZsBNPqXJRd5h/9Fo2hB6PfsSEcZ/j8UlPweyP789QCDHgxqdDv3Fwrq8UceIGKIKgsMBlnC
fyLZ0P5eP8MS/BxkjBBOwbO4TqYFv7aqZNpB/R9M93tqMid9x5srdszNNNlG22/6PrfVA64vxGtK
5cAdlMgCvNc5LkV9aTUe7MadMFxG5QXuzk2xqqPYZOIFVzKdv3QmwXbwT11mUP4qg6k+GlBSxpYR
qFMOanE2CE6lfWNRqrOtEux2J9jwWkZdokTFJ8elobHJxB6AiS4cxsqtt4JV7EXdumQ6H8a7esyl
QJMuSe/5E0L0EbShMcXCn+EO/8HQjwHPr3enkb6Fsmzxvgs5jUjHqiRImW92ruMUV1HiRXzlbGV1
9Q5dMVOf3QDMu1vb6dBxPbU1JX9Sg9gfcCQ/YhpmMdHxQg84I/oIeAY0LVUju+TNgvgJBZLXfnFc
4OZz9KVkekz48sEFsbSxgAgHTFLw/w8gaoimeGlmyBOETQy8tI+lOUoz3S5xsuiUiJlHse3pbJeH
tCMDY976+Ar418tSgJVvK1IWcIU1E87s6A/jvg9wH7CFXoPoj00cWhkLfID74rSgAKBO+m5OGGd8
8urMaO6rMm6W25925u0PbOFnDP5XKQ8KJzaNh9ud72nLq78FF6iyaqOFQvLN4WlbzlagfXYJ1jTZ
4bMT5O7NJMkdSVfK90qjXwtSecf7IvPq/P33v+QDHqV/CYbR2i4I2AbM5gP4aBH9Z0Zz7r+NMuz8
a0+ovCetAlFC4ByRry+e/5/eZAAY4C9YxxZUQO8jfEuEiBHw9nJey6HtGrVplcB7fzWGS6ymP3yX
3hf/Rnb0febgIhvCYcETFhB8eKA2LscFgTT222wlpFl+t3GpTNNDDPklPya0qtziUvkDHp+/v61/
W0kaLcaMCb0UVmY0/r9uWMwiZIdUVb7OZjSESKaDMhzvY9sgHPgP12j9/RFitcggygc65vD+iF7m
TWMV02hXb5JgF3zXMzCKL6Xdc0aRUprEibiZoyU2q8smw/nX3Hoj4riHXAZCOBDtORDRAOdxFd3l
uc8kbJ2O2vO6gPEYqv0wuW71J8T1bw/GCy2PaFxGF+Q7/G3qZUVFCFhh1q/4TXX8CuwJi/x9tJSB
mU5T+Y2ziasR8e6fbtbfHwz9PhgfUxobVPTjsRXDVZpF5xnfSEKz6KSjwMuoqoJQpJ25thzCoMo9
26QIXrBGwxxk03ZdFxF6hZvX+DmrlokYcqTVS/+NEIc8Ionbh0vmoYH/c5pK+PHZ8gMDaGdskygk
IePjs/WSSXQViS3fyDllGLTK0Ykst9Kf4YitFgWwM15EEtDp2kANxm6SsFJ5GdS+UhyWEYGT6pUF
WOXvvkROol9/eDRMRHq5Tf7+4wAmhpPTxZuHxH+USUS3vB6roGCljjTdPJ26631ew/DcRp4IXhr6
iDZkmvKFtprL8C5ORT8/LUqXEKsWTjH3woYXziGPnsxv853tth77u02nDDQJiVT13Z8wurVWTh/L
5ZbtH3mPNfr85QFqUc5v1IlAOPBbmKo/MhoReb1FtlYuD0vvBOPnsWv98R4GesnfxWibE2SV4o7A
M7NT3DzJrHB0D7jOHWGw0eOQz8C7l6S2NNnhseXX3oowB1vrBHHc5a9kfiArH+PxOe3v+imoeJmp
ds45gmVHSqkiPjTiq41sivjrizPpb8PBVvjXDvru9qkNM2/cx8Bx2VXpYhlwMVlyrk9pa6jhOMxk
mZGWFcb65INta6lTOMqUl6UZ9/qd2YaAKd1ehG1PuF6DQqwoCJI/X4CX9ymXSuRm5Ocb04wNbqhn
1iw/OSf6ECurwDSqbQtQxv+gwoa5s5aiAG/86zNa0QIeQ5nysnTNkmumeeWki8c9GJxM8dWzAFM+
KqfhmpIfd5XsBoBgvBnEwF+Ypj4tjnXZDbASITzqb3SMgKoNtgkRYiuhAnrqDQe9Xi4NofX5u1M0
NYuG2Iu8uoel2ATBLne0c+hKkH/AnhrrCPyD4BG8gBRYrskHgqRZcbDrk56x9dFw5wyz+2oeuYfN
DE5ZQmhmJBl/CkvmwvmGuBF8iiB81yNie1Ksde2WW7PDnymfapGLyCOsxa5aJx7rZNsYnX7ugT1y
Cmy7BT1LhRYm1uu3w3uJf0pCurXxGMnR5VMa1bhshSGHO5rz5HtsQbBZa3p+kuLq+T+nIde/xYXG
7vprPwjYgoq5GivFWXzf3Y9+6PDzcuADXbfFo0m0nWTq6z0SUME/rCMHhVlKCCTJuuW6HSvu4EB8
PLdzCbGVwq6ZEtDd5/1MP79LTF8vUV1aj59FWPPfdL4lGzjIe84GSkfME7bulLHPVacWfXiguihe
cuIN9ZZ2I/2hZFxjvI8LDHUjeJWwnPFzkOGyVG3pCYVU+3E2aS2vRhBgPrDtJDOQ9UItple1k2Vd
vxFFtFjefg5LLWTLzc9RirJq3FiMjvTJlJa4vO/AKHaYEyTC2fXk37nmhrUN4J2MplhuPaVmln8o
Q+Td26iagB8pFJh2X/ueNxbdKjV1OjlphrmT3TQWRjNQabXQkdMKkbJp7Wz2MjbTmWQqDoDatX0j
13MppTGdEBsH/EbGnjyb1oVs7JETZzGsWtdxrpLmE/On2K2vG9lExKr4ZuZO5ZaDmONmSwufK2wj
BFo8rVf1Q1h92K/1KTzifPASDDEKjln/dZnAoVN92CqumZiaYiGZoEvnNE0uiyYdrAB/7UjqxZPl
+kgJYEG2YleoWK9Lc5glayh2srZITo12Lxa71h6HDqNFz+GolC0ecbAMtEq2Xs0mJL32GhjZ5sjN
63bgKdUQrHkXoK2e+KyoNfUpCGgasXLNTMT9uDN7MfE3aWFa/qzvYn0uFeZYzXeYw+iKMAWI5XiC
eexz//rU4HRAyxywFyy7lyyokcRT3Ld4+q3yTiHeTe4+LOXCDyc6ZuCrXQuwU+w4LnkdwcIMeMtX
MW4bchu6pX7J9v3QshxnALsGh5ywU5wPKkwN92Y2VYexCEeU5+5Fi4FrusVZEW9Gchl1iWUaBHS+
VmFLN/JXH8Kpr2/OhBa8iS6KjlMVJ9A0nxzjMJCu2DFoR2GyQTpRx1vXHOL2U4xYHO5uw8tfnR2T
+cVBPhncJVLLAzZ2jnyZxRNmSM/Qb/xY1lU26T/DA89h4S4Z0jccnhudM76WRshLyyJjg3vsBF3U
TZg+lvCQVwHphuxcFyg/gI+Z4ph3beOdnIMQFoxwmKFZyn/Ga6zsPpnVXH6OkIOSP9R1DIiOfi1g
A6MbGsQrhu2tgflRZbhXMb+ULPBaZO1zxpm77Iqgbso3Ny+XjkAcQttfpsUqp5slMkgRIfORyaBw
vEkQyAnDFA/BFlEeZibT5IXjdddiZ9+scBCprEusukBw47AfrXXLM+o45OewXYjkq8fOnaGRo4qm
pF+6SaGjA922oxVUCtU/RbY1uJ/8EuPCZI0mvJgR7pa2ihvEoFx/zDpFXnroU95k5TpYymlZNlFW
Lma3i23IuaeZzTGs/L64wqPRErsxChJn41GgLZ+T3E4bXnx+HxylIkto5bi9ba2VxQmnkGH0Mtow
DgzytRkEdrdOvDLZB7bTb9rGnJZTTNa1eWFNVmrvYoGqol/1TLcyLBwdz7gVRVO5XwbZEr9+YWLb
L9pt1Jjz/HnuZ6e/MpgDGfck8MjloccmBrJ85/vdFwQ6Sd2syt4POnERzh7OgitzxGZug2l+WVzE
WY/vzdK4YQUAWzSOjZKzW2QbfrOqPKzfUuIIxnlT+L1qv0c4Sw3DeiBbMmAUIb3evEAe0nr/l70z
W44bydL0u8w90rA6gLaZvoidwV3cRN7AgpSIfYdje/r5nFR2i6E00qquy6ysMpWihAgA7n7Of/6F
PA7I/ZnYBvhuiwscGLU03fYCxWcW/Yy8gsmmgYID14ByZTiEFQomyZ1FvFBj8mWSq1/Vtz5lyKa+
YYVWMjsYiEjmWEKunVfO3TA5VWWvqgBrACz2dGz7093Uuw7VWKAPLJhmnFStiYtLQgUFwbpXx4rP
RsLirj1VPjYc4CyHyBZqh8sdXVWY2D4HhNUkSGhC0oAsVLfe6VyHGiUpaWc9R4+DaoVThukjQuYt
w1X+TkZApar+8JlRnYObwJwBiiFnIfO3ss5j8d0pWmiEW6N6y+6E1QnWUMnaYZt0WoRJt16K1625
RYtCFYyAQlXR/jRU7GWJF6tDg0y4YOAMz7GwWZO3KmZr59soWZsdml+LPSWXOa4IapCJ797ScRDo
sSHmmckZPWCrQWmC1W7HDaoKV52cDGBHPimUZpdrS6J0SvyxYJPzeyXGvfxlelIGrKXWKRs+f4ti
gx0ltYnvZBqSGMRQroqgao3m4De+qlf9oGe3MTvZiGeGLEWJ/VSCiicsk55jsasg6Vv7onJVyRL5
nbpHmP2LznjFGR/D5NWQGb2EtsE4WDcglwVI2Ra+jlVZfs4ePqkS6Q3uEW2uTqlfJxgMM+5jihqd
HU34g/r0hhVo3EjQ9sQvsT/IaToyqXFj2WYS9Qlkq0W8Pn/fiblmCS1kZaGIXeA/zt9Y5p3I7VVq
FJOHGEvL1KsYQyyiZ8nHwPmOjzLY0/tj5MA0jHvaP9ndenUw8o0txic8I8lgy2guCsInhuhqhi0X
+I99ygw53UWVCPPhBMak6G/JsFBVrDFXCnyCodzH0UmlF6qo0DsM0AZMzSbVyHui5mXJweuMEQsN
Jq8dUj6TKoXwIVXN9wTsNs5Or8K2967mjvTQ+EyAnvN5ptlW68Cy0J5g45tSZN5mBPKxROq8VoAX
nkr8APY1qlAzMlrjuDbUC2YFMq7NbW26zOFW4fvpGvV9yKEp8fRgQVkW+hhMTxpVb3ZEKU/LIEsS
KmudO5C8ImYu+AX/Xf00VUkzXw2Z53JcGhGfy1xGkatKw1RINKUrw6rUp31fHmnn8FwyOSCe3kLu
sbr8DLV1Hz713hBi3QX7iaHJMkc9x2saT9QEycZubPXuZgV+BucIR0LCf8IMhaHEXwR2OEUt0gue
rUT1zbWKueEr6FUfK7CC/MZk5ePw2X9jVBE3h76B2JIvoOhUHZvLNNjWmT0goC+IZDR5z3C7Uk0g
U0k6Nqao6oG0NlLDKxpPnnM3oZ87tTCUnU5hCE0jsyk8HdJDHxkjNyV4r3zaUO+pNVqiy/m2MUHZ
FAa/OmKPrHgKgzEM8cdYF2GN58oGQxWAY1x9tfHF6tHnXOEIpOtLLGkj2pE+asKW6DVRWfIW2aUl
taU2GNx/jUhnVbMLT1VhzWioJt/FEob/GDJD7W8DJDQ8tS4H0GWgSWgtfIemdwpqFN8p53vuutpx
Z6OmZTypmaQNreofeJ2Ew+WB9oJZbZUVe7LYVa4zdtG6cEde/R00nohWJfWoo96XXtFnqrTKtBzf
Mfx04Z3Wq67vW/VioGjgYzJkn9QridJ3KC51eyQChxsyq47b8fHxEMvBcNUSp1sOq3MB6U+5hA9J
uA2iYpTXuMTN7QmTciPbea1JT8HBptnUB8zYe7ZOuBYlf41vdw17VVIXqhJF28MuDjPkrWvE5pEh
+0kNy4JNioJfimULcmVma8xdVBf43lhkwaw+dDmPwxQuWWUT3KPOm+l47d5LeNFpknTe/iEqCh5p
bEj10SVO9mG+JpAmIAAbpb2NY2QFOMIPzhNvFLwttWF1PEaNCEdU+XFBqFvczkwGIqtID1Y5qg59
et85/LFVhW6OKwzf5XPs8R8wI3INIFsz0EG2cgywkvQI4crPhucx6FSf2cMBipyVRtBh5i9a2fB9
v7jkMaoGTIWtl4PzPMwfj8LpI9yJyUrh6Z3onh1BavNr9v5qZARtcnR9/u3+vBTBUdS4SpABeH6s
Hzdx/Zh70IlnJtlqfyqFbeFaPbJZs3d9fq03NPB3/NgAOnZJZoBlbMFtPp67tLqB+XWWWs+jleNg
fiqj3ORNdMj9YxlGsPU5C2cCtNODRATWAqL0We1lS5gi9N2gEGqyQei4Qnja95351+yjaELVIhSu
03Im4GM18KvPP/4ft0qZrFHYGoSIGAYObh+fytgE5AEMrnPoYmPkc3BAqbaQw5UW6vNL/fHOIeUn
jBdvax9c1TvGuymjYrOggDr4Eekl0y6YcIC/N2ZYJCZNekjg2xdf7niEghzLIDsYrj/TBPMPAnFT
t5YXgt8fyMNSe1SHDfV8JWN29m+hiQXvtAp86n2KiYlf/8zwbmsu2e1y5wsu8/FtZmrqENSipqos
N9y8Pt7moejGfvBD6wlMgtYRM0lQKo8gW3bAf+0umwhF+LYW2gaXCdIxeJ1SGHqWkRhPkiSw9Lyr
MtWaxwmd2q6PFM/0CzrvURSNa6IjA3ZmyIsbHEXT0RuET8XMZjI1T03BnChaN6Siss2xKU4816Cp
M1xdoxgDTX/ppk7Eyfj5N36TbPy+Aim1ILLqcBZdxDuOZX68uXSJUWZUCB0JNZjCYs0sa8YwpkZ1
n2zfy5a+iVRpjA+g2r9/geIawg/ai1x0BefC8H5z8gSuCniVo02sYtzWLLqFGUkpR0JLVL3Xrjyr
07xhERtpx27tDo46LHsyLfpyhfWbCvy02J2oRTpXAh4ZQzMOpEemQHRrZKux2Z3EjJa9eVWmmqqt
2h6W1oQrMn7xwMjQOnlmooqpbdzWUkd8RSQIH8t9B+hbSnt2TcjvqmhK0Pur49U0VLEcJMTKgtpA
XuL+e2GCdQv5BCO0p9OoSIFlP7/9x8uafc8kKotAPh/63R+vtqSziDRcoh/LqLaoWcOqUy2QP3eq
AvgFWX9+SbVaPjxwtlr/bUaDNomAmqNRN4Oyqatbb3j0Q6EwRhljonSOsstMtQu91fkEihkoaaJG
iEM8CFjY6tN8/jGOvzlEcLjzWJgivmXNvY2/f9PzYMhUDDzL6DEtgT/3cd50+Z2ZDmZzZrbdFxKp
4x3EojjD/dKzBWIz1CZHL7kg3S6OqrZ96mtMh+8J+VSvBXxfVVl9/r3MoyXN3+5BV0Im5TJ5s/Ac
+7igwmHUswzHvbsCC2JvFQBfduEGUU1MpxsnA6fDgoF3zj9cABvey9HB15lmzcEQuwLWBYKh5VHz
+2ogaRkcYbZVoR4jNv9OwDarAjJ5pGCtUVMwgNdh0B2d9J5QMHGaMx257ZGg8OW01OEsQmWpJkVG
T+AKXZVB2FV9omnso9kGlmpon39+E47uN/cAW1BLZ53aLlnyx/fAgabv5wLPXJkn6mQOSkYV6YL8
Ujrnzy9lHb3P6pmyeSEjJXgOXP/4fUYVDaZq2MGtZ5dv15IO0GlKjKE6mtjq2YLeZ+8ZJB3uQjEW
CiX99aumlwoh0Aadm+vYrsIz6QUrdjozJw1lONHSRGrzWctSxc0irvJ02JInQcO0TouA9jjG65+2
5Nfgj2mRGiJpZEKwdmZPn/m9vszVA5+dhKtob9Nx9x2agDenMF5sBNSTTAyqlmHhQjbnuXdNrIDl
XyM0ViTvbsLMg3MvCEA54MEb+QAE8vkt9T4+Ptd1ydnBjgzCksNZ6Bw/vppv0Hu4Rb1kveV+TxqI
6BuT8ehOpB7mYiMShQ3ce/8Uv9IsWFU2ofMY3mX3PYkiRFd7smBoGloLX5tU4HnU1XcB/WsLGRfd
/zLyenMX+8l1zqjtRTFr0Sc0mOsvmeWIS5Tt5Wmkx+05J1I0q/iMPl1pbWI9zMyR+33QDIlDOIGv
28TWOOm9NmsdzQGp5MOy9Zsrm1OJkBTM/M/dqelXXTXVa2bi2T3uVDYW2iZTgqTCoIZDZGCE1xnZ
E6wJ5xQlCjR8Ode6AQ2xcW9NzudDFZWGswgaEQFhhG27NZOiuCW7BVMqCz837NI0u1hp4HaPqURz
kWlVcyPstqUsCuQuwTVzw5hgqnAkYLiM/aQPE1baeb+HT7nuBh9WthclyYNEBAhqHhAV3g1NeTsn
EkjMNjTYwJpmL4mEvba7SX82p659gnJNEKp05DIaRX6aum2MNcMUfyXh+XBm8EIwVmYzU6bCSqt7
HAdWAv+4tRMWP3hexC+YaDTWIis7glcbXdx98fr9w8VciHLqmKeGO65IArw36Mn94gcS1ByO0Kjf
GgX46iLP0/PetiT9H0YA14wI3fSLeuyPN//ta8LVYWTDJn7cj0in9cvUbvIfdVHQuCLlQo6RW/iZ
fXFMvP1N/3sMv91SVHkQD3y8PlDGHR0To5mnZg9X5ocxKDMry+S4WJQ0PPGKBCL3W2HmgZJzaeTJ
Z45fISREmL8l+FUgMu2gfUHWE5eNaPx9odXuHectugFwxY4EXooXE29csjY6w75GAVm85pIYsQJ4
9ro3J/PBT+hTF0Zp6Bi2pOGlhaQpWmhuLkBvUmZxBjqgnd7404+kDPHHrWWzwRdPP+DMhGs8z++L
WuiIhMctUWUAZRD3BemkeVwSGJrbjrY3zT8wz+LmRxjSba0yybA5HA+F4WePluaPK2mGDD1whxE7
u5icYvX56+d8JN7xMVxF1lR8EFQRHONHBZKRBjnjg8j9EUoGB8BpTYrXGLmMK4K6Z7yH7XzcYUI8
Suxaq5xpT5nvSnCrczK1+g7DoVC7nI3Q3lnzBHDWBP5THoOnL5tUO48x2MRxCasnK7duwUCzy1Lj
oS0Eg7FpOXcjY5ekbIOlW/nuN8rGvtwMdvw6iSS+sFwc5VCgOLs4LKvLHJstFfDdyucpi+QdAtv0
Wis8DggxGsPGMrtBLiz47rcDHtoo2WoCc/poNPwFFjGMANykThiEcCbe2I7mnWEuZT8YoNr4b6ap
M37x2n+kJb3fW8ytKXsF3Sy2FR+LIwkkzHN3gx91bDsXWKYm91VsTdjW14V+YQz0El9c0fhIfH27
JLUBLY5hWlDwjgNpiT7Jmpyj8ycaHnsPbIZBciAn7RSgMtkwiOjY6Qlw+1Ehe76Pw7E7i2Nfv8Zr
ydp8/mq9CR0/LHqXUpPt0ySNXXlfHH19XDed1guL4mc4MmCgby+Dp7KZo35V5xP2M7qJJajMS2Ig
yHeIJnwShbOLoMOuwEl8H0MhDVPGphTu97jLegX9AqEXWhudpyJud7VljRe43KJBISDaXiC8MYdF
i87rLbo6l4vG8MolPmBOtdW4LZsk7bRzXxg9PzC42tmbenFCDlWsEiI6NuHA6b0s8eU9yxnzUlFa
KO4XWOsVUEqGhBkuQ897p6c1pRZpbzpzLE6iPLOaReNCl+FNZFy0FKB+V5YfF4xcYdSNynA32HQi
y8IlUQrV+VD5LVqFGB/UJfevNE6UzKvZ6uQyPHRNGX+XmP++2jGyajQ0SfAV8PXn/oM1vg9pDuoa
tuV/4HqWySQ0HYf0J4m/OmKZwU+eYXlMTA15ZPRU7o+5lcGJKLTnqU8GYlxEX+X/xguLRQRlswVz
lTjmI7gDplSbtyj+fgZYT8rV2wPBFyfKzuJMdMhne/+2bgq5Qd0WrLG2HB8j/FQr3hN0Sp+/sUcA
3dvq8WyFLbN1KG968+OCnXM59CXROz9DVxc3tTDab+QsaisXYPeUc1FeyKzu9hWmBCfZaBnnXeFy
kLlZN15hrOdBSC6G/izWpPUKc752Fh7xRzdffMqPPYD6lAK+q8MShzNNU3l0y8iinHK/tuVPUO86
vKOycNolSOK0kHj6X5iiT5kptbPwVl7jlK8R0SJI1QKzGraWW7b3jp+FZ7o7pHdmY0smJJwCmyZp
Mm53mOAkVzPufX/Q/9FZ3E7Vz//3fw4/ciwAEcA08Uv3u2oCSwLb+u0Brw7d4Zeo4uKQ8yfPD217
eEHa9LPr2n/4k78EFwK9Bcxf5VTxxnX22U1/ZaC71l/Ms8lFhxz8d9r5374zypIGji0+Go4Onq6M
Ef72nTH+4ohQ65jCj6qM0I3//r8v43+FP8tflPP26Ne/U9A/AhwKqjfgCVLgGfy70n58XDkwzARG
3FoFjyV7jbA53WpeiT7M078iYf/TlUxduT0QRG5CVf54paywC1tZdSIBpHfM9eqpKthghyCSX5TH
/3QlrsHkA743ubvq938DbcIO0XpTpdWuG1K5DKR+2fY5TUD9VVf/DxeCtw80RmfP1zquE3o3w7a1
mavdhJdZmqWvgRa/Jvzzt/fqH2QC/3wZh6HKG0xx/Iw64h7ayBkriGoqfNEDHWhx0lsiU/g3bh3v
KoeLgqI85jlHt67Sc/AJvlEf5M3ZqEuFipj4X36pOPhYY729eB64PZUhwfA0MUdFhtsTXNr5A+fB
APQi5PRtCkfFjrqverKrPr+DH3feXxfDjAI1sYkj2jH6ohlOyRyhrHbYW2MsjSRyl0ALWJRafNA9
HJJju7EWBlLff/1V9Jg8AY1RrwtsNj/eT9GUOAFHRQVVLS5vZFPDPPU1oAAYl+8b9YeV/ftKVjfs
f6u2X98RjzV2BaxLWNUfLzXLRE4xNnU7TWImkcsKlrKpBzef38l/ehcBgv/nKqqO/W1tqVSfnkaA
q5AnfWo2432fD8W+aP69W/fblY5u3ZDmUUkICy8I2qwV5dlhLoEhv15eRxUVd46qm7oBWr0QDt5R
R+dyKEnZsDGc3HUqDMzRiInrxiRcDpb9vY5dbYdXNYb7uIFvnIZUjrDpvmgqHf3P+4qBmIcsDzBB
ddxHC68McgfKV5Xvqh5KVqX3HOQTZPqr2c6nNTI28FUfZX0NGEa/C+z2lp0MN7nY97UjGK9j/8ro
IZRIkYvh5c093U3Q1PoujBXppq8TNdRJOBv9eeW2ZNBVM3Y/po9vXlnxI1MU5Gtcls2l5NDauWOd
X0+Nbz6krokhQpAET32OP+RA47kLlIq+nAp/OyQsqdQdBRXyJGlbMBKE3lCjrO26CK4+Sqp1h0nl
TafR2uj+PLzUAQeN0Qk+uzC4SoLMffAol5eR68HcI4FVf07SSFvGLZ/nLXkth3m4Sski3JTwhS+h
fQE9OoQkoeEj/51pVOaPC6gX/lYEGJPWOiEQ4AHeCr8bbZnrfLsZRg2uHW63JJOHyZXL/kY4eLEW
eFUs4T9AjIqqEuEDWps9uBc+Q6gQTg29K1eecrPyfIyf3Ew3H8Kod07H0EieQq/M7oEj4i3TyOqx
Frn5AEEAPw13wEilym0585l6+iUIXgiVLbgSFvRWGxBPw0r3vh08uLJam1+TDtw9Bdya0yipq0sh
k1fd4JlCJjcfci9+HdshuOkEFhWD2p2jFrsgiJXYVTe4ffL6+n4WXSUxudmIllE3G3xbEpGIxgyx
JKESoXklCK7YxyGd6AJCb3wRWpV/mYiweBUauXxGmXATCfQsVqY2YFL/tvKyNqQz1UmujchPxM2A
mxBI2vXZBhOlSwvx8kDatAghiz/5cCsQuTMmCpxIxep2fTljj9CIbBtDlKvODdlX/oruAFUx0nd/
bRog4MuiVDYnAsPmM62M5wcSdp1bQg3yV5P4wD3fEd4NYSMLnMhwOYD7do+i27i1ipL3x8EgFSad
DTsce4sIVEKOeLo3IzA0KWGqZQ3GFNWmWYXlQgvxiyEwx4dA3bDsbH1GEmpzys6T72E2W/Vy4RB8
HUHj1MJ+K70iOfjIUTd+wToSLqAjNhN9tn3zjBrIp/s+N3O6hc7cZZuBcV+8SZi0z+uZzKp60TCz
g7U6psbz7Fcq+JC1ZeNFQAz84LR3vdtVj2FiO4SlYwaR40OOSwZu+Xt8luI3XgqOYClPgjFr+lSH
ZrEfAyaiRDaYy7RJXvF/9c8CxFZ7PogBGJZPQL4tHi8RqT0XYeqTjRIqBo3GE5IWp6+02FjpzrwV
obrBTQKnKl1F1Rj9LCrgNVLSsTPHpGQ+sw35HQFAv7XyMm9wN+FFmAev2CvspyV9a1FrHdEbRrb1
m/An7EN3FbXjDUHgu67sn5kYx/scqdRaBpU45TR2ryPJoiRjZVzj4Nyf9x1uW2HKOrc95nlm5aYP
nlHNpwgUNzkdJ4KOEQucfEhb5qNxEiMdynip2RVJuc3IUiKf1L+0qGtJp2DVp5LEwZ7M5YXVggTM
DbtbPnT91lBHf2Xzvc08OcDu9C49MPsD+L93bfUk0JbhgJmzHVj7UappLBvqk1QplDrx66sendLa
aRmsLCCc+5ddIYeXVmsyxMMte05kp961IZoa24Ds4ICqvNmwLAV5h9eQw6EvNQ0EBVcBWVB5EVCV
aYP5umQneyv2pN/UW+yo5CqZEjYxE5hdMEsBXCmbXdx63RJ12/ASOcUJQvxiEfqtzhtMvlcTZ5dW
1ZWbaLA8HkJeXba1Ku3x+zhlmM7LhPGvjGEf2csUeieaMB/PKIHP9duuSzbbI4IbAxksu1Wv3hEH
Y5OLFIkSmbZjuOmniIzsgWIGU7HOuUhCZ9Ni4Y09UWMuHWtmR+zKcdnDjbkjRcu/nN2gWI06jggc
uMNS8oQTDIkJpQ05DW77KgxwQCuKfTDL/LqV7D1ayO4x+Cz6tM+5534p4XKi/Q2LHqgxMPVn35Dd
KU7XlMSlvPRStHut0PttQtzoNvdD7Zz279JiIP9dS5L2ckLXdR4k80OsW8ODl5K+5k2EB9tKsTLj
WYWbf51fVqiCrrL00a2bfAXM+1qiolzaXXzHer5vej3coZzS1lGY10vimqtLGz4ERktTqOwtnjWn
lAs45vYehQtu5nGU3dcFOy/yS1Jsc4+cLpjr5XLmkVbvmyzweLWZeQYb2r8B2uVI5JRn4/U0ZaNk
fuXYzRbWw8LECX9YwGNPAHiAp8pFQp9Z84okPr5YoZ6eFEOt+wuPDDlCmxvl3dXXc7NAHBPn5H/U
nY43yVDniyo379rczPcD4/09vl+g7aVHSo+VtXIliYc3M1zIx9IVp9OA4nvm8Mka9r/cHYJvNWEC
xPSmDHu3dtzn0X5AxNKPC4YDvQejTpaQMYVES7ykHWikWMx+4762E3YzCw/SxM/KIV/KiEP3ZPTc
ioy9yW8gxdZQrOsWiRf3wE0n4pybrrsqhEu0bGJLXxIkESbrDtWmjQuvZHTM3tM+IVpJCdIas5sh
sUZi9AyBzzf1PRk/sPV7ZGtJuoor/dn25K5KEnJzJlikgMsRiiHWFxtHf+0wCD1HUKMpmkc+clab
05Z1akIdTAhJkZnX7cxadkQSBIc0clKoImaKlwZhHqVbG99zcMYLyRmNZ0jY6KuCwGkI5Zk1X7Bc
w5cwcw1E8UarAciPPtWthlZpxLF144Y5+5st2L5hv8glDZsNPGT7mbOq+MK7lEAKojImp//CP9X6
oxhVBTFAtIMqTQe6OCpGqxHZjWdLCNF5bu9l3+avpVVzBwci6/V8EdqUVhlWeEg9EqO7IMOb7gmB
/2VlUFbFTX7g4Cr2nokv8mTS6rRxhTlSNknnFE82EstBrbDPx/avQyIJ9xJP510YsAatkU5pbbt5
cGPZun1gYEQ2kM//bT3NcK9RBrDdBshN7/U4Tp7e9sCi0H0PDmYKgPx5v/Nm7/yhrYIXABSjM2UG
7jTso4YHyVxoA89lO0zS2XvNoT/vQgnw6jXUTB1l9sVkaQylzJkaK/UbZdhkOqedlRNQZfhfKfU/
EjfemhXMhqGJ4LmgsIfjvjlkruRxnOwYwt1LHTv7lPMFJ5pDkclvwcSR//kd+KNR52XAOJkrYWgL
7HTUHWEp5+TojzPM+ChIi0AGHNaUJkUREVZufznXPxKyv7djRGwoC13AZet4jFs0FHu2SDM21xqz
Q3bMEgCv6KtVwovVaaW/TlveNWx4B9wrOYKHcjbENjIHY0Pkn7YM0sw5IJKDyd1S43x+P/7os30L
DgeUODWq4b4c3Y9uEgO0LWI9fPrtraOFKKbs4as1+AdiwVUAKuCnwL1y/zAShsDYI18t452wqVxF
yK5RVAKPI+zIw4VAGYQTIJU76R/998+/oPlxtKgegDJyUfgPrCc8E46W/2Skdt9kQ7Sz2yEMiC8h
l0sL1HxQUpfCX3WmS18juruwp/vUn+pXrXKGdTf1TrhEQxLFarNjbltDGyezHa3JxrbTZkfxSxAO
Rt4/avQ93YkWtHSNb5/+P3j1F3i14TtsTZ/4AjUp2tVD+ztS/f5n/jZI9/8SdMtQ3XwbtucHg3T7
L8aAvhAm1FacXhSG/QuotoTCsJVxt6/Mf/BP/R+g2rL+0g2Dnybhy2U1s1KOgOlPgWpPAT6/7cQQ
8PgfRB/XwFeVT3q08yF0NO3KlPaJk3neEs8Y9IgFVfwcROM+C2tKN42An2U5DNMPp2zdMye1a0S4
FMjfylLqjFkq7YB/nH6e4rSAsiawbkWSEJUlKlGswtZ2L6Ksb79NSR/fIvDKtimyn5McDuJTWQUe
PkBuwrEmeNnb+hlKZ7LD9gc3SChzI0E5RLi86BVNZUzICQDDmJo3sFLTvU9xfhq4VraVVrtA0VCc
l46JxDsL8pWWUDPR/A4nRUwkICYTwqLzDt19XsuKiPhsvCwrL9tWmeefTeTCUXaL0bxG8uNf0G0T
CjjF+jkDe7xXe87qDZPDbIsSK/xu+LF/YRASaoxCnuO4fDvrFDiGQD1Z1LavLXQ4Wq+Mt7Gmyyex
9Ax8P5bUi92Vj2ByYSSutYYKMZLinMVy62R69WMYuIjVWFgVxE22ZY9O74j2FfVizOyEeNwx2flt
160Ge8hJHJ0M2EumfCgJA7zsZDRcdzT3LyjApu9FI61rQhGnnTUlzYWwkvEa8454CXUv3tQBZnb6
KOrn3JIjPVfobqo+67eukfI1QqzK7LTgeCoGk1BLW/7QfGsRNw7uAX51ahbhia0UXDJG4ZoSkrhq
neAcn2fiTT3tJEvddBXW5fzApldv67p3XkM/Kck07OLTTtjDVuh+cIK3ZX4Fk302sY5L0j3U50Bb
WxCf2P6n5D6cYp9OQRD9EYtqT3c73FT9UN/6FJ3nM4Soc2onFOKysWLgIbsl0E3PbuzSrrY5bAR/
MaA93Tlj5mKWlFnW9Uws3nkY2pgjum6WLbTKg3GDTS/ktY7KKm6t/kwgVLmi13b38F9EsExmO3uR
40gmsRDZbhqldSqgiG/zSsSP0nPj73UVGQjgKuc6R5G8G6NpvECbZJ2ag1PuGlmGl51dtrfJbPnL
MSccKNck7WVA3KlfON6FWVfmYwFV/ByULz2JISLukiSzc6xXW1APO3Ius2o4NaPB5nUEjtb0bs28
vztA0sdKbgL/WJP74x5qa/jp1GN+EuI6uciRdZ+USO7pfoh8I3XMvLfs9GUarCpcaqFtPrpecVuS
p3vftoT4zXqhXxMoQJ7UGAXaHvBWJ+mIouIi6qlxl4Mm6kMbNAmxLGmNCtmy/Jc48KJt0fOHwjnO
7rxYV9l0GGLo9CKnpNLhCErO0AkQmFih3s1vXKvtnpnK9Q0eucYth9xJaA5iXw71FtEL0jnhYncY
01Zcw6DOvjlBthPT0O1FMBcndkrn2lbgdZLN8rEr/fjEdfJgM+EByDyio90vxuRb1WJ9NhN7s7To
ppZzNGG0Wjnpd1TQ450LL+q6wvZ0yQOFstBEqbli2F1dac24GTJRn9YN8qWl72+cLsm3QTvo50D2
2bbOrvsAoE1TvO1UWMZ1oofWrsArAkvVgelzoffNi9VNfBJcGAZ9dLelMYzrPjMkLa5red87F0+C
RUUgV0zBOZEXOU/h5Uz04VYjlzheTJPjLpt+FKQyw6JdhMG0lpjdtvS2EiDW9/s7zAVJAM9SuGJZ
E9Zsc/CVFn7V6KdhVWOGWwT62jC074mZwjQOw5m0x8x3gUsxevBpnZeZFj+k3qCfZBDB1xi51Asz
ScvnjEHZaVBG/rWTe+KkbR3y0WbkYddxpxH8TWYLErn2IBJ33CZYuF3prcix1cot/aLH13LpBSp6
zvQysUaI6N+DNegXwJvRQ+PZ8RnZaOCandhxIs7LKWn7CzBRPB5hmJy1iSiW3aT5Z5RJzVWXBPU5
eXT1vRbE2cVbchgWoeGGkWG4mk1y7BAKWQ8QO82dwDJ03QQeYM2YmD9nN5TnA3S6g23V6nCRs/0d
skp8h4idSFpB/DQYiB9uJf4dSOXDYUmieXRlGOBgg2+roKl6vNHpPBcFQWaraeoILhtN79SzfSeB
m0fYPA5jAy8ahsS+hqaEJwtOPRFJvS3isVMWDtVdJoNtbBDOidp+vkp7y14zn9OJziJlMEGjWdgk
Qo4bQVTThdGH5t6Hhvk0kOO+GvBfwvSC4zZmiZ+2EBl2roEwDXu+xicNUMSrvBj071nQBDt2Jiy5
OpOGUThXjLO0lwprr33VedoGm5P2Eme77MQBLN0IO2yviQ/17pAUBRtDr/WbqI+JROzdQFtOkyY2
FsLVi2aqn4t2nl70WbL9QyacMQgZbQAaazCADOglzVY7dYg0hBRXNKBUC7Sz2AgowyEddAyc+xoB
mvIATJLwVjoUIotE1hluw5bfXddhne1KkCaqXrBKCBttA+nGDbz61WcMfdJnkbmwx0E7i02M4r2C
EMS+YNrkyEeHYO4Fey2ZR54c5HPaiUcseQ56IF/xG3j0yvFbYcz5kjwyWLlWTZpk4U5rbB9uzTqs
9lXkusBmqXmfQvV5oXUZH9B2Pnp9ITRe9RhjrXRfIYvU5b6q27rvtpkYyRU/p9QqQqAYE6uAdYx3
jb1WBP2z0XTclRxG6V3VXT1hBiWCVxlPlrfLehDuR23ChWCj9QTGEXG6lRNVzzZnbnIeYytUPlZs
oNReyuxlDEhww9gl33uasrTHZmlFkZeeGuFU7GUTu4/O5NRPkO3C5CqAU3pKdrHR3MpojoJtNqfZ
XCyZeczYD4Sdk/zworHV7hw03c7aiPqATHQtTktErrG1KjR92qLPLTa9aB9aNxzQz4bZSp94koTN
PYyaOexEXAGq5R0G36RkbvzMpZzMon3c2Gc4lnshJiKls0ixK7/X3F7bUYvcFXOUrSMYWXtOEO0G
X+zwbIQAsMT+a7roo7AmZL1x9nMHKkdu7MGmM9o3vtBQG2tyaxTjtEBLSrmFC7okuNVqTuP4BAYP
al3w6TLoMErBdg3vShT+wtFxErKv8xk376TWyDK3McSQQRDsm9yM950engkjA4p2jeosCkS3mkK3
fpIW1ACsJaZtXPcMH4AI14QrBgoQLtdkXVew2iK8czr8ApbYfXk7qVcYuWcmNvt6oL/aEvObJQSK
GNdbH6nZD2zWhffQEjHqti/SdkkHuQtqWzFuETLFefbeY/+nifuiicNm5tMmbvUzOwyH5ufvTdz7
n/nVxLnOXzrxJehhbTAD983E9W+2kfMX2jlAkXfSkEmj9ncP5/8FaYBVjUEiCTeWwsB+kY0sD09Y
+i01GWfmb+rWv9LDIZv92MPRJBJVhMJJN7C7pMX8/+yd2XbbSLZtf+X8ADwQ6PGKhp0oUqQaS3rB
sCUbfRPoga+/k87MOj55mrr1Xi9ZNUamZJkiAzv2Wmuuv5kU8mxkYbi6crdYS/LaZ33VBCTgkcTm
lblmtluo941cHooal5BfJKOvqrYLjknFBDqmVQZtbRWvUTqURA1QpmhHVKcfc28pAZU5GY9w7iRF
zJaY2DHKWfFuKAg8OvUWG/q5O0Ixaoxa5lqLx4tI52tpmo9ZP1VHGtLXU5GZfIKdQaXDFoCacQvb
tQdL0KQ41BE7YLsAdZGwc+Osbe9mEDDwcHSm89nMthM/nIaV2Wr29ppGe8Bi/bVi+3/gFvie2VJ5
TYtSeYplZXmGnKstB04c0lKte43TNecV6Sko5+4yOvGnqdBRUEHxAc+uXVg+5xvXzROKG3TFy+Kq
38Jc+dlwoaAKwUWirojxhGZDxbUmEdDY9vfXZNQuFhw1L7X7e+DzQJ807ZIK5ykah3sB6cYDS/84
yVUcZ2LbzGYVJRvOdPsHsMilPBpO80qIGKCR6OcDx/k7CPj97ZHv3e4p+YIQad7upHX9CCVvfUPy
V4OGyElAFGfYsKYcfaLwPm/Bp1mPwsjOLC+PrNuPAHXP5Fu7cta3kE/Us54ryqYf8/ox7tzipV4G
40XMerXVcYP4Mo70DZHBmTsQaZpELX92a/OgsiaGt6ccevLt32oAZk8o7bRsphEkf7rGw8nRmgc0
1l3krKgOZi/PCxCGVzS6J6tL6209U1UjuoVjNcrtcMXEiV/IcsK2cJ6LtVGQ8fTpmeV3jDWA/QIY
bBR7zY2GD0XF6+rbUtUvvVbopzKVdB1MAAgdDlu5hpiAHnVFzCFxtzYJtFq/dkXvbjoHQYxwDpwJ
PjledqveTkh++kC3pLvFMMQEETdCEKRY0HiESd+yM1r1SRPzcEdkrgfO1CrmM+pAemeUlvpu8BcP
uqVP/TKl3ilAC6/rjXDaqGXzsKh3sMXMfl8zAntIHFQxI7GvypZOojr6ubj2dF9olDWgsBk5FQAp
JmmBAbopM/GHnejfB/0/Oeixj3D0/e/bur8cqf9R//wPuqaH8nv67fdD/4+v/+vQt75AhsaXTOJe
J6d9O9r/OvTtLzhP0QvIeP5pFv3Hqe98YdPn3rZz1H+x5WXN+5+n/m33DhzauXm9NP7Vv7C5+28S
CgoKJlYgjhqSBTnIvx36i6hyUgKzuoN96Jfxz4LkCU20+8z51ZW5K1P1QNEMLqfhVeScbHoX/Pbi
/Q8OSvfv6/Tbj4D/TzCbYa9yf/VV/WZbqzFINY5D+3zdLuopMl4Xtzl2Y07fNX3KGumlXg6B28QV
qeLovmnibIvfE2lBezNGDr4k4PId3+MPQUB3Nr0LBM8WJ5lY5JDN0eOKFCgjZRhq83Gr5YYc5w0V
UaX8PaOw+/Z/F4P6AKrJuxV+TEmbiBIuprsz6p7pP86to1Tp4qKapEc2VtpO19FUB3/RqxfaeL2W
98Ru5kZVUh1gaPodvjWbveN6MXqSiU5BHbBDtYCZQTvr9Y6y6iOD54WTZwjniq4ShduK5b4JXQm7
2P7GvVwJ+Uh7rqX7hmVj4XGh/ifU5BTBOJc+LpDrrERPmZxaJJcyxHyF+0FTt2kxPMSdfZeJ6vuK
O6nPcl9aU7EFZOOgEtJ3pFfVRzkb6jYHVust6vRRGXEQ011wrLrJRPRv/Mbq+MPoac/1c1ziuPu3
FFD1ab/8k8MFxscN0fC/ny7bH3Ub/9cD5c+v+UsLUL/cZjRy0eRr8ebe4sx/niiO+YV9J6hI0gw4
TX81B/41R/62+1epBcDxihsRNito8X/lAOHs+fvYeJtk+WaI0ZTYmRZ/0O+uU1erKyeqnWIH7ONt
ypMZ40NehxhhX8GNPLbc0Sp1kK9OKV6XCRlwoGAa38ChX2wnXBWp7XV22/uucNcbB9/cu9gSt5wF
TWArkr3N6LY/l2i0ghoHYgACQj0qcdG8M8+qV4Uo4pbw7hDocAj9xknTDUCzm4/KvjKVOg/TmjLq
9CX9zunEd4ObpkOdCjtFY6ExGe1B7dsbgemMQ4RQcG/0XlbM+7az14tJrRB2gcn2xTINT+jjuR8v
c7RPwAF4hiIu06qbW/rXvlpGmXraxCfNLovkvldTcZfp/EyqWqUPwura0GTj+UDEjIRt8ULjN+6u
mdowSUSrtMdv9UAoc9THKWi5CX5PGU7v8slYGWdX4IuFhHvM2jCE0mVvJ7oB/ckoUPt1/RM0ob4x
Bi0K0twyPNyT37RxYfXUj4fMzSmVSnGZZSuV72sPVRc5GZalXV1L2W36Xwkl5RzRlBcOipx3je5O
3mzX4uo2WvHaj2bzlSlyU7rThUGzvOZYdUkTOe3gZdg/cqz8xX3b6PEUas6o+pJ69NdhrdNLrifG
Xu9gDeg6jCavicf2UepK9EhxEJaDnL41TynNXzYjeQRTnZ7aupheCfp1n/jF3Ze5pH2SfpRhCqza
xuM4uiWZ9tzYS2weF/vmUq8KHfG10EZz1+vU2dtpBt4ss8fipcor886kpmdLko8+uIrsjgdaE19m
rDbt0Za07BIiFLx4rkaz0C/XW6c1uIG6m311rdXqIJWVeVhCjZHsknPUb1GX6YknAiZP7o4bbbKz
d1sbqYf75fpDQopeMq2oH+nYgkxV4jJHFqEdyprpxMOHc0Qgyd4buEjc5QUNepy2eARK3H8hnqX5
Af9Iehr6nEffQFw+7FIoKuuERV6n3BxyJRzdoJUOVYWqXrws6aJ+bwdb3yu6PmR+TLRmF7eACOgW
m+FGolSP84KFk2eyeBprE4Niz7e0NRZFAdi55UGju/DFHKIl35n4JjNKjeLlii7Hz1iC0bxCm6Nv
kKd27usLvwe0L74hl49EhtQZVuEyYouZ+7J5S/j8bVPoDmyI2WUEEQAgy7OTvnjBjII5QxrdZyqx
j4hBb34AI54fooFU6q+fLItoPN+MAMjBm2HLvsRUKdId12Ir1qPEuRi/agWVvqSLJDEOlVkNTx19
WH5tLZiu09tfHKsH6YXB7J/tueQ/LKJM25tU9N04MvUSqm6HF20ysvdf7zQumPxpa+ziLRULVpGU
nH3IXrY+ky7ESZLE2eCbqyxeDKymX6dKwRHTl4Z9YVto7OucdlIxs8hHYydBHQ8goBvavzb0ylcH
hc4UdtjRBDxiooPyl0WlUmvrTHPxcofyrl0jNXOuk4RalfCOZGXpmtG7q92MJGaJfF9FM99oxJzZ
2guMgiJOlMdfhorVyupHVp7utub6Ev76bZVTWT9C/8G82+VRBYG6Hx0qMvn0LrhYjkJ2RuRZDrf5
wIr59sONumZT8eGtK/9IHefNaY3F12Sd+l22nroqOY1sAQale8JJXnujWb9XKXIAYUPfde61fjir
U/yQAM0Gp5rsoIH+NCf3DpYPFl+FjYFmX+dO3+hjssUu/RK3HZWK6uwcLYtv2EQmI42CvXQhaKpV
9bXnOYZdT6/Z1aXCuhpN9txBWTpZI2d4jlc0sOxG94VdGX5aLiey1ME0g+iNqOer7OhB9Mp8FrOW
bZw6XnBLOVayteo88xCOjHBp8hKMJmrYOHKR7bEDJ3jTxWcVY5GU2g9ZQTCT1MjfZesNfKiVpEs1
86MV/a5yzAs8DByO46CfWf1Gb0qsvWJZ/YBKhMxRdeWGqG2PhlaNoVLqxHI7kuFYTLWRScsifqIb
Bhi4bP0sR9PX1oTYN9vFDTGDxyobmoNr51sdujzM0pVfcGqJzSzx+2TTkuPWEs/WolIz7cp9Pi/l
XoXCtKPrPg9UZ2iYMXNM2S5r5nhlPVzXb1IdDG8G3XJcctU+tLzxt9liqdxIozdV4Jok3OsNYkF9
bq5N6tg/Uo2VjIFx8d22FOTdPH/qRZd9Y6UPJTYbu1trluOziaRttXP7g4G+CjdzXTkP9LHYxaiW
Aka9avgEBLicP8qy+0wWyuxUOPynOWmnJtTjMe2hXGiIkQAmh3AdNYobhXUqOPMvvK0QA61IPBCO
N7gEQNryS9pCdnmVN4HRIbN3Qmt+dETZSRVo+6Wkbkhvmm8Dm6tAOvCFMzG+qmAWfbXmae9q0twq
1vBB79GbTPStusjomXzA4tHeQyUsRmxYVKZy3xosV5cKqjkfQzYCVfwKn7Pzq04PelKlx8kZ4pAh
wfnErjFebTMVzzlXemYIVnx+Z1jLYYLQhAqkRQ4c5jF7zm5RB6Mzyh8dy5cffdsWB7elbK+Kuyio
R2Xc8EyfNnnH18alHi5rr57sKKsvuD7mIE4kk9WtspIqCufUjM30XkEHfp+I+p0s9GLfZMKi0DFd
g4JPESd5nw62n1SmxJBVOu4tYh0fxxkB9dBpkZgJL6zWSXPlsHFiWap8JOKX3pqVswXz0s91bZb8
EtHlojZWwhHCzdE2W4N3TBXFXi1N1tbGOuHBnunWrIk6Hqg+Yb0kzTKMOhm9uDLtrxO49SxcoYVB
s3cr5dTHjrlnUsi3Qq1lmM4FhXFo30aYtPPPqtS0s4BB9Dy16bRDYZFfLXzMODTBz8erm/iTPXWQ
FCl6Uu0VtC9TWDmOykGtOcAaocldHZHtbdo+8zNKECkSpoIukpTbEW35bnfckro2ms65paj3bVS1
G1ox263UWHgOUx75zAz3cw0tVVG2WP4QPZ31LWvbGhccOE7QLLJlHZcLLwUWsykNFb9rmxtb4PD3
M3yEbUtaytMGtmVm0Y0Pa86Ml9MAyZNrdM7LJItHmXXTjhIC5U3v8Yigjf7ASMgAYi39xgWGuxmK
qCFLj4umbdM0GFoKQ1k1aB7knStP0PpMaGbwGrxwXqdO5ovezNt5muOg09fHBXfbaU41wcrKybZL
JbbYFRCcRRtCUot/wJLY6j2PvBGmaDhSvxXOULQP6Sg6Ii9dtJ9kdExjeTUi0wzQ1LI9rOr5LspI
OfRBBjRYQK5er27O6Sru7IHOqTGk9R6H+zYvwYtegINJVnEDZjaPv7ABF8BVFKp/41jSfkwzLCR6
36ZcYN7PzL/r0WRUyf0sLnMzXLqM0kSn0TK68PI5Q6seBxyJJSIstbSUaMK5Qo0eDc+i5lQjWVB+
nUvjoqjuuCkrPMoYSKdHAlNrKJa1O8WZWbPLNo373lxf5aqn4dpY19QF25utPRtbt9KCApn2DLnV
/E4rLuUlWrV+F53o76fSVjapGH+08aKFk6mN9844grt2bOOAzDhx+iXdgzsV2nECKHmNGVVC+D56
sCj2O1yBG1l4yL7RNLn4qdIadCUgKpUKLZVxBqE2lx1+8zGd/ahx6PGIcI/MPTo3xtQnWK6zh7Hq
btUZtPEAf9p4Ytlllzh3BCCS2vhIqM8JSAm4hyVerSrMxG3oj5e2/64aU/8JIzA7TlPVMcd3AEis
1Ny3mfuojoOretQ4UiZL0ivfr2sEmWldjeVopC3mBwrhvhatWtx3SfnBBRQaa40Bu2HnsJp3eAew
ilbJhyxLnvqKLD/t0bqdWcSxNuBaxk0LOfmN8cUKwbvM1z5CyGcGuuq0uJ31jA4LT7DAPaCyYMxY
Vj5pAB1eLMTZO2xS1XEtRoct9NIX57yStumT/ki+V7JTYy/KUiIqIuFRoGJwhzyROjVzQOE6nyyf
ODjG2BTXdIgdWBE2Bex6yQIlqdHTx0g3FI58Omj9QZ2qp4qhPzTF6mBpIMXRcTCGjlj36YLm2cAg
4QG95qeUNdCbgHIYWNJG+jCxX/ptlmG/IJzAWyhmKMlqB0JVlbr9ExpPG0chQkC16iyUeQ6uiw8V
eYVehcsF9obsxp/kRcqdrffprpWEdGel+pHPWDy6JbK5PnbHvB0IDsStc6UNYHyIk765YklYgxwl
wVsJVOILqFme01oRZK4THfjBnrn4RYHtJvUGz5uzLywlbv+tHf7R5fjPtj7ERxHu/vetz776xAT+
X9bI7HZuX/PX1sf4Quz7Rp/5h5Xzr6WP84XPtssiUGeZjBv8P8VDQ3zBq40//obfMv4Icv+1Rra/
kB9Qb1/Glhl98V8ygBrGf7O+CzbVfLebEx8H9t+d14PWJemazMo+0tc50GVBpiqLmAQGooiQmJjh
yKl1C8XYsMMnP481cbTA896vVkQfhWARHUZqOn7aZFrOK5ecd1fNkFViTNW8t0mvBjM6PMf2Wr2X
JuFZNlLamTHAYl8ztvo9V3pn9fOs5ORBnbK4ejqPdpsX15aE2Fkdv5V1Sy9Nl+QvPVPkG2lGaibX
sahWkEjN/A3ZhygJYbNl5ckKIT6Y3UqnfomStjxsLJl/T5ScHa/elkQuFq2lDANcNDO3xIIZAb28
v22HdGQ1KGSB2WqOERa1Q7qm1V32uZmT6VtJuXdyM8UlR50NhRPSJZSyBKkKtr25ktcfTdc0bzU2
HgIqi+oPhH3uEEinD6ccqzdiTuSpUCGXO9jU8rI0WfxNSzRatTOtJtk5cG0uG98aNJXjw5loopnr
B5PyF7Y+DrqoR9OMvS3mND85OhUyBqmXTbNgU+jqvW1PQ4xdc6C7e2g9y6AhS0vtB+6KdMZnevkx
U3GLXFU6D9QnNjiDsv5RX5i70q6DQD8t+g6KtygAzuXVwewplc+WdbhzALFG+7UT8jBSJcRRHJsu
IU1T2kdHLbXKp4GkeKHCYngccKXj5RH0RA90A7+mdh699koz75vJlGFVucpxWnn0g4+1wIUvhj/N
0XpcYzF8pZ+qkb7pAkqYYODeJY4z4vhxKUCJIWbmwJCM5DwaVRE20qXLpZpcSReCsMf7Qpnb2+J9
yL/JX8/GbuZ6EFOMUOJlm7p37JRYO6aIzAVuKT1GziZxusMvnV6TJte/anGZXtzV5E8DTdE+CiaU
zSAT405oNDywX6oTgus9D7SFoVHrR7mbFgEVGSOZb5XZ/KZUcXvQ1dL9MbWT3W4stQTGJPTJSUOW
l+7VzSxEePaONXa8WLceEoNiNmY/lp+eS6fPhwGP3vWGhFtQrK5l4Jo9ZTClqJ74PeZcb7rkwZ6z
7r4TS3KwuYq6ocA0iV+lMgLFwhkU8HatnxxdqmeC9TVzteTfizo27uVoDDWdU2Vzyiq7TmkgKfmU
v8407t1MhJTUGbw82NpULq/4v/ifuhJx33uzOy6Zde3obVKLI2UuMxUuOL36lQGN2vNoJMl8pXVb
Xw4JAeWdnKwH4ZAKw3S2skbEFL5QVPA4Y/kesc4NxRsRiAUhlGKNwB4Mt/PzRqv9Cp/44wDcEE9c
Knr/JkBz60nVk4EL+tibLAEMCQmyqzuu76jnCF0oTwCyeSvyeblGHYlIL2Ur8DxHk14eraFXMaxC
si7cwGjWQX001o6VHCQ02uqQfqWym4b2xYAoflFyx82DudWnvd6OBxpmrPu6adpt2eMPLejF21LY
tlxk7Wj0HRXSqx0z3jtLV1xIdrZX6p9n38gzltq6W4R2wy8SNdErI1B9QianMuPzUfaIW316HLND
AxN3P+iK3A52RPNNqr1ZUYKYnCmHLNO8ASOzR41Ax7dRJn9m//OSGLqxj7q29gUvy4bAQHdOVePN
HZo4YL/thnDRlftsFRFBME7rZVC/VqJvvCjmDpIvn21Ho/rKaxj16h2g8X7xgWWqG7VLnmedZUaR
1S+Ovdj70mk+uBIWIXePqwrDgGG0eIn19mxNWfbQy+qV+wT5xOXOZp25KdX6cby1SJQzYflJXUpP
nfIx0CpKRrxhbpydnTDbLlZF88jYSVa7iXUvU9EdWr27w+tJk6DrjFs4eEYgqE/BKwBpnFEnTw6Y
s42Uv16zvmFe6+7deTI2FnO6xtvozuK3fVTjVsN1NlRXFffv9lamvjW4gmMordcT1UpZxPsH4ze9
gs1FLot71dcWKwh4xeKSk+Q+W277adeJesjTWNytkKZCIrYOAWdzFrdjlnUfhWRL/AQBPQ5MmCiB
nE0tpB68RJiLl1NBY6O3jIKiohxVTzGNjut5ejFbRfKRyBO/pfThVLY54mCJLXosouhiahHC5oAP
xqzVhRlyvINXMQW5Bpa9mKNvSafKi9bY04M2u/NdirR5tVK3eqQ5pPR73Tp0mKcZtHnrZIr6leI5
CYaDfyTZHPnU57LIye2PaSaa4Siu7a/oGht9Wd0NGmjx0+qi6rROYTesw3HqDdw47dAZJ84YOun7
1CYYkJTyyn6+CCSNJ3fgtHTfxJC6pYIh+TCKgs+WW3dUgObDlTdhgTdQLR4yMzI9i8BpmFprFxBQ
ebDZogS9lrX7ctX1h4LC2UAZluZsTuLdHFsrlKQtHkuX66HZ29rXvjbkBoxFLnhnJDnryVG1fEEN
HvZvrWVO1q2taNr0Thkt92B208K6L533Vs8jkq44a68UcPr+0MT/bb34p3MySMf/c06up78Nyb++
4M8h2VW/CNOGu4cqegs7/TkhuxbpKY2UFMEa18ahjJviT1nU+IX5AmKOjOreBmS02T8nZAOZFJce
20iKM7Bg8FX/gtHC0P+mk97yklDLLIJYrgq1Vb/Z736zOeBp7cfKTp2DSj3mnUIVeTDlGio++OHP
shrJbZM8wbhU3NoJsXTnJx2g+xuFv1gIIrtTHqiY5iabNMv4YOh99JKvfLzvZDrPH0mfZjHxDF1G
flRx/vtUvLIjwkMWRsRWXhasc5cBhY6k0EJh9iHJnOJzHBfzOAJieUnYaFHUV7ROyUZIaJAaanwG
PU+uxDXS/WiORZgluoSQQfkcOkSpW5/IFsWPSrX3cVGsp8ydx699Ko1rHinDGgxwHX72+lqegXff
58XAg2Cp0uyN5nj5Da/W+HWOZelrVLL/RLKiPNCNTYgT7WxTQIvKF8yL3vFJj+f71W7F5LloET/t
UlEudZWx24BVFZ9GRcPyZjQ2SxLKikhA1Lpx1JIsp0OOA8P1KOZMvq1YSHaFFXUhO+7kTSw6y33d
KZ1tZ5s6uMbSKh4XkSRnJoY9gIA63qVTEW/ZKzoHHDTjVq2BlQRrWVqPZUJAZbtSlmkTrkg0nLuE
qOi3zZlyCJPX7uciaDImHt/aqk92bbjjOQAUIsrlYYjyLMw6Ya2eVtesECUw7JZ7Pg9qHmXsKBrn
RIDX5cE/2sN1tEu5o8Sh3uWK2nELodvPd3H31r6xWs2jLMiz4DZS/FqbeXHcArlBIcd+FjZlVp4T
r9k5JT3PyouypdcC359nDUbv3LETsRG21mUmX0JxE2OnFdH7xIIuLLqqPVd0jfr4jSXrcKuR9O/M
SU0vZdcfSLLcSLHJHD84ffOz47sMO7VfZRoo6Gs/pzgvDOR2OgK91Fj7j6pl7NhFkVO8RMOc7Ue9
kuHqLplOiMkavzUQdR+sCeJ23VQmcS69BQCpS30japeL15wKGhH7Ls5epIrYNl5WhW5QYMN4APqt
Lcb0Oi128lBqBOSKT3672kRddtlSj+fNRpUo3VFdaX1DuiUXFJ3iTrpBKWrNE0Y/vk3mZDF/Ce05
dvgz2FRDc1ofjW6Ow4l6ZQq7BSG8XVSJm5ASlV7FJ9QfiWEelt7IN11JTknJ9NZf6pZatRwYeyVa
D2twHXZqU/qyvxXoJfmCYbXXWHG7LHZiHQ5PLu402v/ua1UgmdbGlVXXjgiQeVxBpPuL2qosYatl
R0qA1/0WJSu90ViioHJa3oFGJdUTaIvFCrpuwFsJOXiDDak/aGVL23DGAKbP7nQc4H+AGCnzrTSH
AWx0uco7q5PDQcuG8ootzCAxVVvm1sqq/qq43WVN+GDmlHaxVHsWCsdA4eSf+BKNIAPRBHc1654U
kGqnYgKM0VU4p6AliMfWyDm1nJL5zKXcy6MJl+3lDQeQTbHjjxoKzDjkD7pRvbgQl2DI8MFWap3u
3PhKfCxByhSZH6ER+Bl4eAhBLOl37WqV9DgBLVeyenpi9Z0E6ri4e7s21lArLKgEWqZdrWboAo6n
HHRVa5LtMsrwxhqbYSV0w73JnBpSID0fCbitX3Wo/q92SQ4HH35BbCThbjT09hM7FuKEk1XMHFId
ZwpjCmdlakYKCZa5ZsmRx+tZzfn0ogtlDyvohR95zIBa076wGxSXxaqAzRbGHakcmjIxZ1XE26aO
bHac5vJUkmjd4rN27vJW+0aSCYdIzGZ0JvsEPUr2YdndVFWdF+UycYEOoxXnrW/FBa+2RrNtS7rL
JUWXLreKW31EMSAvNNONqVTHlOXzGSTY9DmqJqINRd5cRDQ1VJ0GWK9hD5u2c8pXbiPOQ9LHzeLH
/PpfM8fcaOagnMx8rs5iHNLg1o36BEGwgBRi9G82sOpHG8/0RcokDhch1U3RGMP9uPbOPlMNcBkF
m40QO1LBoZukw2Nq6PXBSTr9m97xltZ1OZFvkdU9RKGOraYpzsTEcn/G/senaloeY1HePHaKSE+Y
gpjMuawdO7OIdmpiZj7duHlAPSdHZhGfhdtluxRrxYOSD7aDvuLYWHfokkVGZVUS0WZ8UIsm2ZSs
jE6pVkTPSbVOiUeBZvfO+AcleFXG9KiNebdDFZOsu8X8veyH3F/1Zn3SR13zmyizAbcUaR97uNKf
ZTxpRwIy05Em1Bvn2FIz3m8yuZrWIB61eNTAAWcN1iPJNQk5J/lKuK5DzrRgJHU1SzMOJrnjiT5/
SwhGPuGgsTtvsLAok+3NfVUzVqwtQ38w2/7SD+gg3M910fevqrRuwy0gBJGrrws+qWpXY91Pvxrc
BdD/+9oaeBLlqpOd1xoDulfpQxnSMSKDRcdaGDbqvH46/WiFUb5wDW5TjmCKsrnhtC0x0zhZhu2k
lk/TPMttmk8xXivWOvwqi2CoquKi3zZJZmUfhlhpSEG26b/dg/9/e2RG1P/Tm3zHtxk+8uV3P7L4
44v+WiSLL3i78CG7t5H2Nzuy434xGZ0NHlQuNU7itylZd7+ImzNXVVWMuhoo2n9MyTAG4NwDxGDB
LCzQNP/SlCwYt3/nCBClVhnT4RLoJDSE9gt/8duQjEM5oVcHE/8IgyLhXivsCzWU60anw4vQFNPJ
CH1QmdgCSgPmDuqJi9g59jtQ4eNWl0Ju2YSglP12zfgfXMqm9rf5nR+NvxxwH1UDtQDz/WZj/u1H
mzvCcDk04b2NGa4+uzw2zg40KH4GJTJpmR4w2ghDMcKUtuU+ZvemNCMQaR7v0adTVeLS4caUbdgs
UM2/ElqIT0siJ0p4kk68lUnSWyQZx2bd8OhQnKAwgYSeWWE5nRIYFq1XO+TnNTDUvOqTgG5oupk5
8Oy8fU6WMeaDrlA+BY2okFcn6iCrcW6wOmEJ6x6w6onbsjoL5xb8tzMkWCvcydEfALQMz24NzGBq
ZQnQp9AKFveAsL8T+lbRd+lQYMxom8xPEcQI58D1F5sx0pLi0OPqyTcY0UjBZ9hYLuhtCE3xtAE8
+oITTtm26doeYBSJ7QBh4SNVk/bsluYc0IRJ2rA+NLXVPdkkWx+Ei+xsdzDDoigZD7MyKkFqr2ys
CzaeJ2noy7GKk42SZjlP3EHUV8Vw31Q96zy6HOs6IJaYvGpR1NieOpjTPRAY5bIOoPV8GzBAOKXj
fIzt9VGFtHduFyhr8+pWtkclu4g3lAwb39sOJrHbJJ03g7tY2b+rqXVVnby5knPS/TJyygdzXG0s
AXor8nsewp3+nMUta32hpOd1lSFjmbaRtDw+Law4yfrq1X62GnNbFGW1aew+yX3RWnCyGLjDtbLF
jvxNE9oUfnv6qkpGvQYAIalFX9Bie+FVl3eOlbcbKrjUQyx0l0Sv5RwSoRZxEFVq8drgyHmqbcY0
OQkU0HxQuBx06XrSK20+6iMI+thOrI1B/U+IUpB6LH578E9jG2pp3Vser7uxWeU0kzrOm+Rbztue
dpF29nveaURo4+mq2uN0crkR3ZlTN4SFkbosUklh9spaYYJNdf5CvX5N+rJFC1k1L27ThLc0tpZo
M/FApahCGpQ+8018ZS4UL3LcITTdSXzTYvL1ZbYsP25eqnvKe4zAmed2ZzQG0hGdr9Zbpy1rCyQ0
EXtttLI2qCd9IZXf29WyHWsNXcA2u87xNFna8O5cWXBl0d0lKOIihmEJIeIJbAbLXYNm9T1FzoI+
B7M28UqpxX6015a+GFEkR+z/1R29QLx6pC9X3xhvN7cx2RQYBDO6iiLjowSlYWELndonwsDV0S1c
l5dvlfSioYNtCKxHdBKkt09X4kjDiwsjGrc3OFfB/h9XrV2pqbm189ra53377CbT+t0e1zmMps7Y
02ZXe1zfuBE3QqlPnITTG/YGp/UaB+eXV8ZrJYI8bXPXj6dqWry6a+33KrLdITBli5WvJvw3ntBW
jP0smE28kt0K5LXx/7F3HktyI2vSfZWxf4+xgIoAFrNJLSpLsyg2sCoKaBXQePo5yO471qy+Q1r/
69nQrK3JQgGJBCI+dz/eRvnNBFnOWvlT3x/LUJYuII6MnXnCRu3OZYOq0ctD6w7ZZHiQGgsIrjY8
pWznm+zO4YuBRET7EDvvvjRYRZpVv6lYod9KHgfnPPLhEnRBlr8EbVGjstttuR3xIl2CRVEwsPA0
G7XoDPGiOCga3bKN2cXORiyKhLyKE3rRKfrZ1RfCW9F9bAHbrxY9g8AYWd+pyzd5NbDGvAofbpOm
X5OwRQ6Jr9IIW0l531BYZnzCp4x4Mi46inWVVNRVXgkrLfXOWVQXPdv1acrN4XPoRWhtizqDdbI+
sNDfzIY0wEguKo64CjqkRJxz5GOQVgPuZtcukX7gfEYPBG+sjyWI10c1jbl5aOAs3TuOU+EqmNqU
gnAVNV/KSVDe6+DycTG+48cIFvUpqv0aw4g59pcW3Q8p1Bxcsiq2x6AyZd14B9oBLcvtGw5HrrL/
wfMdaciIhl2tZPMFYiyHCH0BHZRnM63tdnLUqTVu6wENjWfDeEwWXa1fFLY+5abjOc+XPGWiTDCk
XGbqi+vWv4pzkB3VDQ0+SHZqshb5rkHJY2TO6q9nlX5uPSmvH9vB8KJzLmjkwuLOSfam2jaR/JrY
DJ8Hz6FjjkzhC5pMdUwqpe59OzI5av7VQpziRnSJnYxGdQOpgUeOm91AVgvQHUuQyZgbpGvgnTNz
gqWiqLZV5SS3k1uqvVMaFf9gHq27gi+6sxoW+dNdhFDL6qxNHk1oIJo/wOgbX6hqrB80bpOz49ZO
tm6qCHnV9fuv/SK5pgQpNjovx/2yLnnLFmmWu9Qlk3NVbJ2regucObppyp4CFF6n+mx7ixhM8Smq
r0kPh7OlLGZyNohEFMJMGsvwZkQ4epFJ2xbbepGVnavCPF3V5tBZlOfkqkK3V0Xai9QAQQoizL66
atbdIl/Hi5DNoJOPK3o1nKS/M4STPk5CPqWUru+TqxJuExaYMShG9qW5auWMq627IC2QfNqo/DIt
onq7yOvozXxe+I9R3Q0q2b/YLqRNYxHlrUWeZyyE9qMW0d6rG/Om4XHGt2gR9cOrvs+6C60f8CJb
GEUb5Cvj2M+NYWLunYCZrbG8V6cEhVIxEvIMBkNo5RH5/gCfoFHW+eMQifa2TJLpwaHFBIGvF/ZG
UpSHyS2D7As04zH0yVaxKHIvkVtGmAL4ioFvkKa7QTBAJhicmJYZN3dQ8xZfM4l5BIpkrN88HwPT
igJo/4RUMCwLTNfSBK3g1k3m3DorPej56CXAg5EcOnnT5mJ2VvRmddZqNGa8/ypJ+pvapP4Gu6Ud
JmtdONJdszzRH61ETcYDII7c2Xe89B/41lKoILgHiNCVmTz1ieZN4BC4rQ8pMJ1xM9KyEPBqdVh/
lZntPY2j6WzKWhnNymEWePZ0yoM28u1q75UySy4a9MxI7FrlSK/e+KKxaT4iDasvNSa8fSnRaoHv
psZXx4S740G7LPZ1oxnnGmEu7FVkzrwyahV1hN0q896KEZ5PXhX7dxjWqx9+Ac94nYlQHCsvyQTc
5x5Ugt1hDx7Rse32LL3JYmx5XWT/n+zxO9kDcAVywP9uD7opO5Id7w1Cf/yrf+3rvP9k2E4sFCXj
qlbgHfqX/uEAHlD07yj6I64h1P/RPxYOHFVIJFQ91BE6rlBf/tQ/LH6gz3YTxYTqK5ZG5j/RP+x3
OzvT5AuO9oE+w05RMSz/efsUT3rocNrqo8uNS0FmYpiPgvQ1BknS/2VNi+7KhZz01hgqeFaRr/Ft
F8HJ0HFwanj/I4wo86YUsthjl+2Xd0qGaMp6/dmrclYPUeWi5IrWX5tok3dmYXTfE43NaIxC4hqk
7rcVlPY193rAhNWJxg1BhJ78DLNaoLx62Le5MR94DsmnrujG31TIvoN1cgUc4H2Oy2Xgmv6tZjRh
scZGtaqOLDXHe2QIf8+axV9bbbucF7/3X26Rf7dl/XkvfT2ebwuCAyhYCvP5z1fcMlAfaGCrjpDO
IdqH2dsyWIV+xzX49ZHemb+WIylqY4BSsnNfyJs/H2lmMkULisxQsNj7WTy+WUm6hNbtIH7qrczZ
A6MOHn990CVX+BNykIOSqmBewM3kkSH++aCJsHBdsPo8dpLn4cpYRO4G5c3ddKOrp9U/P5rLhMNz
IGRI9bceCt8b4iJPsqMpBje9FDqfd6NEkbqj2uD518cyl9D1u1PzFd9WbGHEOZEzfz61MQ2zKE9F
fKyjMWOKH7GX39Q1nDJPmyhMUzTedWznb4Ym7Q9zpgBIkaxq/vE5U9zqUY4CxYM/37NGM7NRE52P
CSk7Cj82vOgbMkJB8OzLChPJr0/67/eQC0OSV7VHcpAg6bsgumajbLdaJsfKnOeH0tPNpjX4Blc4
qqLj1MRM5FVBsOI3x/37beQKBfeEjbJkJCbePZfSMBniUFbJQuTuWZTzaQ52Nww4crvknx3LIUKG
YLPM0fh4TfGeD+zExkBLHny5mP08Bo+JCrFK6OkcEt/48Ovr+e55ez2Wa2IvpC9IOO57TnSSQ13R
rN2O8zRD0ypZLZyy2O7/tCr8r9U278diyzlhgkA95yHD7Wr9fK92Mmu0LMf4GAgCoqxm2E+snKlg
wN7b7lMUxzmOL8xj8WpmgETSJw+j35RFv7t3lnNFFuRBB1bHkuL9vcPmLI1rAkzHoG9CNsgEtqAH
ggQI7AlmOomSTSPt6TfP8+sl/MvXdDnswlaV0l6apsD6/HzqfShZ3QUqPkaAbT7qROYnaTvTbZUU
0V7bFTEoiMhjsRroBFbrYOim/jjIYvyGal7rrxUC94lQHqYqQYF5EAf8MSfGw6/vhH/3e7p8MEt9
DVCJv4N9XDsYZmUYB2Er+TbBbNFr6qHZZgWZHOQBhjrDMjoMlGIVPqQXQb/rQgkIgmOXls7Zb/3g
iI/UvvUN2aid7KMyIY3tq9+hlf9+13qCqyk8Zq3sFd8ziISPs77JhviY+4KYRxp6Y8repWm3v74m
7771fHSEzPjI2IV4/Pn+3RgbFhcFuuGxhE/9QKsA6dYipb05axz36dfHev84vx6MymOLt+MC3F0m
+H+dHFNg7TbOmPA4JwW0Cb2g36A7dWvciykyIPTMahyms9mN6rORF/DvSrfd/+6XuFbU/3y7ejZ2
0wWWzge9IH9/+jUymnYsvhnBQXWDno4qs3iYtv5oV8cQStyDYUvx5kZBDA6oo0BkqiKwD3G8oB7J
EUCXDvvg5HfddI/6BiatqZOK4HzWUndopfl8yaIGXwks4Mc5s4MfPTa/F2/K5gu2EgIpfq3lIhKm
qNGee+614IGLsGc9kt6RTzKqxKHFmngTAa8mjlzFxrOhhvlhgivUrTIGTne5Fu1rFpBzng2WcY1R
YdX2xyL4kXuGW52KvEYqBUgeHLAZOw2j0qiLVrbSyxqBZmYBWNdyXulSMb8WXW5/GPCdQMalhsdY
N2Pg/Mj61qFro8W3uG1olrrgrs0Jr/FoMXUf05PCw7tsQli0oPgtTKYsGxcKlkctVeyH3U5E0tkP
jmAxRASr+eapztoWSa0+Q00nlYGazf3Gtz9Md2npc3gsocaDZzU8O0XTqc8zHsjNSDXFRS3/tmGj
i7HchfBYx0ODoyDOjGe/tKcL7xmaK+ppuLte3kAO7dYqIvFQ2XWUnkpKWUA3miGdM5bIKXkN/bzb
1nOUMGm+Pq3IeJ5hL/KE8szR+ELHD3ckSW9TrLPMnA/Qubh2k+uRDtNCRM8O3UUfO5I+BgFnUdzb
qaUW+ZifM4BFuMgW2yhGzPhNCx/cYqA1rRv+7GfzCgoNRK/Qtj94RY+v0rC4trltxW9ZmFs7EzvB
K2Mm4nF8aehqCeIcCMPAoGvdpsTDRV+Pd/Hk9NFGOWb8hT5THk14Al/MSTjZ1l7uw3wog5PXYS9Y
T5HXxhu6DVnAmDk8EwJ63Esqb+dLOExZQJNvTF1E2/TzQ+4aCEdzzjqni0DYrhNOgClwMszBuuEG
2+JnrV6jYYHVjB53L2Gr8V4DuS4PXcSOATuk8SyxdizWdme6hEaWnFIv2/ozg7pRO8CijazetQnT
/hBy4haOmbuejFI/hKAJye3q4ox4ssSYs5hOg0ZcaLmYT10t5AHXW/Actmpb0gDxWssivdD9A3wh
cNVdPqs99UwEoMim7kWc2J89DPerysnxLU3YgVJyZsBqZ4aOlrU2JdFGf8Tm6eiCmmquqvXix/1d
HBbTKTH9XRThu8E5VZ7Q61BbDHzU5Pb8VZ1zWlnq6XWUphndJUSTrCVITunXZ43mdMEBf6fHFuhn
T0K1pxaBCYlF3rGOP8gAiO/UVNY5I8YgutRdV20xUNBAzhQAwmJGEhLiD6nI2I8em2h6A0PxWnVG
s02IT28miT3FYuZ0NIT3qV48pgSfqmw9jR5vta6yvuQ2hVi2Z5KzhcQvKUGhuOC574NzWajwU1tZ
8zZypvEUZTkPYGdZI+XWdCtj275gZa4fzDhrTkbvppt5ljfU108exA8aynDPLw+RsPmOBYmCSSq5
wHXTIVavILQmJ7N06BQJYITfdPDQLcY6UAGZ91rzB3d27N04ZEG3bXvLP2Mmqu9YKDnRZpCLcKZE
9kFXU/iBkeXwNJUu64eyqQBfEr2bLqmCRkutr9o5aet9S/JYE4yU45Fhcc5BWUVfdCgePXcYHtUw
TWCwu267vH+wzZRVH63jqs7vm5ahoOKbltFwhSa8stIyWOuJtUjqIValhWzWUqiYR1ExLK0ivBFU
6CsaWdj6dNx/m5xl3s6fBbMuIpbVWsM/vmtE+wIdtd6YCG23Tj3DPA5JwFDTIlMn2aFpYtipmnRX
JKl7L7qx2UnVhR/bJBzONhTxNg6GUzJ0glCAN/hfQI7TiOcWVhOve56Tx8LX0Qm3CDEAi2a6w9zT
qLhKWDuwRcgM4LNabfNJfyow0+9EjqsL+IL3o3VGPFeyMK1nK3fVx3GY/XlPJxlUWpiqtGl2rMeK
sT5U8+zfjkYtH3SGUmWXZbU22lod2EH7B380rXZVmZ3+Xlmet63osD7VrX1RuSMufqCHbO345g1z
5IIlTKGw4mf+QxbUAeNVO7DZ/CeRw5hCm88GKc+12Wb+iQ+VSIOLb5KXMO69wuidr+MsmgdF7OU4
1gXMirK2NpDGEAiSglBDELr7QRnZTmLYAKMXO6TNm/I+bBt6rwIzOQZJbV24gvHGznsoN4G5712X
G9svLhRIk9/OfeseTq57YLpv3/ghqRTqB92nwK3NTe4N5T4TQAOyufFeOzLaax409bpvEPnWXlvC
QE4D19tHkOkJ/AxIQ8TWw5dCjPZtJ7zyTswBy37oD3JVNUYCISQ1SoesEtVsAA3VZ5eo9TOnFp5x
/Xi00gVOdoTWPH1v2Y7f4EHtHlrHgNdnVz6SOno273QAHHqZTLq37NiXQLFSbADM8pSZU8u3q6UR
PMmz+wqG4Z3XjOPBrpvIB0rp0d026+PgUSWO0cA7l/UYXJKu8PZO2OdvS3hUbtPKrz86+FF3Uibp
D9/N42BdKSRZsgDMkpJMv6im+pLzo4H+lsgHvjtbiAiABV4FkgRRFqMxQAQukWXPJAZeE7nf0MLV
nc2AyiRRosa7XbxNc+vrYMDdjrsK5gf+CBgTYThdkO/KN2UW/QkaB2qHzzuQASwsaBfXH8Jbe2+K
vnlLdMoz+w/ea+DrFPpr71xZsC08BsiwOKQ9ZyWcYox+RAYxmDZuoGWGDm0Hgd0aP2oZFZeR2P5t
PLjdByMM+jdHx97nkKKzAp6njyQ3itlj8O3iIFY0sxZ5cTCkM53QW/1wm8v+49TizhJpXmMAhU++
SupFuRxSc80qCsODNalNm9VMNaw6wGRL5Te/VTsenCIRFziJGTbIgXcGUhbR76zrQLnwcIoAsiSQ
icxgMbpqEmKb1rFKHmfTHD55dmKRlCUcfnT9kdeIyXSI+5KpPBSc2XgGUy52flryufFS2NuionJ8
jruvFXujRR3JABTnXAXtxV8Ca7mVmSiJS6QqC2A06vdBCjt4mVzLfjWsyvhhYf24CTwyG24BbdsE
cbAfndH/ANkGPGfn6i9BRfMeEoa/RoH/wMKYbG8gyX+l9aO0ybijlU8zj9cgC7ip8heoz2IlPONR
9RTQJaoAHqW8nYPguKJPYyIJRMXTyOJkoxTRfLPQuPzYY2PigvLgj/FbmllRsTbYJxP9Ajs6SZrQ
QCvvOjl8B2VOeSRj33WNaLADnKLWaS5PVpO7a5Nk/yp3F+CDH64x6tHRHnA7i2Q0z5ObAzQ38VDz
g6Oy8/bWVKerPJ+yPXHE8amWVrS2Oi+8wECgdAaZoZ7B7su+t04xg90tIG3oAXrKDr5gPGCNPX7i
Snf7KmoFdG0slezxeeuwEDoRLnMIccb1Lh9aHLvtmNyk5rhPgdSsoP+M1JCNctMO492ALWkVOaM8
uLqO1iLvATjUIOw7AvIWS8H70WwEDOWk2nktleHaKLeVUc57U8ZLWtL/oicj3+mpkue2YnYwI3wQ
9HvARv8aS2dXBpRoCuo8yJORxa8/D/l816XBCTPdh0oHFx65DIywAJ6lnn9QIP9i+v6jsop9xWp6
XSTZqy/iYT9TArlSrf8G1bdZzzqEa2iY7ocyi2GalNbb6JssrKDHbLzIIoKt2w1Mv13SVTgQFJWQ
ofya9361snKm2gRx2BFQWtl9hLz7daQORSYdphOVQTqb/Cn8KKoGt4PWXnrCv0MEd5rw9cb23py3
tHt9GvuxOXRtdOPWH4TXdxiDan8bNTG1CmF0UAO8M1333SfD0t52HDBa9exhbrpOGwdcBcvXfBIn
147VJ9k4BYJSLb1NEw36GNeS8eiQLNsJcuXjvsT+uhV4FByMlLAcwIoZehfl4yNlS/43/NiTcTKq
jIEO6IfGE3urtwb7jPrdNJCoMBzcQz9dfp5Vp4BnGDoPDC6WvqIQI6uP/J4i/zLVdJJ2JZKMjs0m
xKyesh46KLtTAEYw88abhjoamhF9hqayGdhypj7RfPhpn70wDX40geQLyFGRGFw8EJqlCBupDbF9
tkUht323gfWUMWdaNI2p7ILPkAOMbWDU7DFKyFFJPI+3Ne+4F9qspwsUf3bJNBZTT1NLcZsYLjCM
1p/YdnSKx9LQJPa6MJfdiRmP/fdktgZ6XyfzRpjpTFcorPgoHYLPYW4w5A4dZT6ajdtupavZiaDA
ireyHKR7aaN+2fICHZ7WkVs1H4EXsXTIDCn2lWnrI2t7frQhC8ojSjboyLNY7JSp2F+Rpv4is9za
xJrl38qJqntXk6rG834sQG9isSn10UobXqSNHZzsyGUo0LDJ9zrFjGBRaq7H6ysHiCbOkWMgAQSz
TyA+oZz80/Wv+F5O/E+y7S9V4u8VVKODZafVa5O37MFGbTEl8OzhboCeBIlJLFrPXMgnP+VixppE
o4jaencdFFfZiIwyUuzXpcyNszyuQCrHAN+om4GeEQ3pSYK928vcbT6WccsJxAk/kefIjCuvG+/d
ODM/5Z3gUy9Swe9MZdBRu8V4n1KpuJuNSBzmtIPfUtHXsB4F5+XkzMIrl21f3UPYX7tTUu9ZqrG3
77pM6U2fBpDp4pmpCMNLHgYdAOpAkHksnd6F1BSIPOf+h1x6Q/NE9crwD5JHmjBR9Oazr3VDKiHz
oQXz7iDjWYRzuWvTYXBuMioib10MIecymVHIZpfhVTCnp+t9Z8TFvOsTPgF7Jl5Jgm5+iNoGa3o/
UmPMq4FkjoF4zFCEbdZD1i3XJOtQ2Uz+k89qvC1Vz2VjSLl2qHi9WIVZ7EnhtUT5ivmiJhA5xDoA
MsK6oPWBO6B1FkocPC1+YJbIp9Dyja0fURlfZfh7WkVvzFgAhswF/wQHgj6qYvm/ZcvVMsHiERu1
1XTp+UFQjij03lAzJz5Fpuskm7RN/X3ccN9HNCHfmIo5K+FDNvwmAaAfs+kwVEq4m+yZH5qMRvnK
KLGgrqmweuo5RvPGN4fg1EdB+RpEAr4eXjcYOhFfYcfu0CZBM1EPZJavqWowhdWjQZdb02cC10AW
mI9sDjjDAotoR1YmTFkB413Y+0Vs3bBv0R9b8DXglUSWnmjWnC99U1pAjlpy58sX1mrS6Fs+59Ur
RQIceuya/pS1U3BsGbnmq46i6VeaW9ahYCLX1vw7X8cpZe7eW+c2/ToyY7YebfW1EJ5PACggvNTr
4CRaPp22Dfiyj3wDg27ymVhQAd7qvt2GYGYuNiPwS5WD99IDXtb1LGfznMFhuCtsGZzczOY3b9n5
uJuCx+Fe2C7DD2RRqoeXu2CoGM25lctIwXWcfr0wNfVq8DvuEjWLt1AkFZkFzyjxiFR8p0vtgq9i
d4oDkOej73ClyLIaz6Bjgh8KdE2+8tvlHtQLhFy5VUDxNcWkrAOm+WAokIGQc9j2AWvrv3uSffKa
Dcb4qSnj8cu41MKsGhbkmlFqFW4jlhW8GauEiHrTF7fR0HbPsRi8b1XvBD/icsQ97EbZtAoH3kxO
PNQ7WnEmUmcEdI69XwefE+m6BfwnkjMbVTLg3mRVDCfwOo39P6PDb40OoGv/MrjevLav//GH8/32
Nf/+X//v8hoX338yr0PO5l/8aXKQ0LRt6TrSttAHuP/QD/40OSgTDArvD4zoJuTbJf75r4yn+k/H
9Rj0K4KXHgwdrBb/ynhif3AJ7jAVN30EAewP/yDj+V5UQE1gw8zPQYvCvf6+BG/yobFRMoSDINhO
/tadLmQs/nI1fq/po+Vh8nBd2h8X5Rsnxc8zfCSkZXHozweQRKt0poF5Klae5JL+j7nk/+Moy4n+
xepOaGwcaRunZaH40hhfyvF76/7GMvD3a/XzibyzDKi4dNi6c4huflDiYYo39fz267N457dY8DmQ
ReHDUpppetZ7+VpiLy16CgAPg+NBITTY1MRV+ZDn9d6NmIn++mh/O6Hr0XzY8XDZpXyv7arRHVsM
iPowlSFrE+SBVZwr4LxhlW3++aFwWYBhcC3s5++FHNHIauRlxolFXvg8Jg5920lvXgTFDL9RrN8r
q8s1NJkGszzxl6bIdx+TmbpwBG0OVeiiu0mzNj1InUyUJ87jqg7HfE/Eafqn9wYHhUxo0i9LKAmo
0M+3nxuDQTUgihymlKtoMYJZSc3wIqD4+Dfn9169Xs4Phj7fXFwO0pHvNLHUNqq5qgx9yKfIDlZZ
AEbSqCHZpRaWfcgD9X01QUOk6ii6dBkJ2V9/lO/1zuvxATehItMVY713H0yhU0UiDZuDl8P8lQUn
KOvhw68PspzEX4W/5SD0IwtvsXMIJM+fr+dolu3U+pY+UMph7tUQDfEqVHZwm1k0qcwTwVHgbuO2
1Jj1f33of3f/2CTucZjxzDKXR/lfnyS+64xmaNn6gNF2YvTiEpJLjImUuyGAnbDFdFdTBP/z14c1
ySX97aSXLhtO1uKlYJrv/WZNZgBF6mt9cI1Cf6UdXQxb1gLWli3tfHCpIX4Er8PCiRa1k92Ibjc2
Nh8Bw479NPbDPq60frGi2TbXrOCTjW7Vg+XmvbthGzrc+NA0GQzQG263Y78zqfB7wv7KxksB8Hue
lim6opH03MgeZa1kTujBh/S8Bh6U2R+6RK9JJUSCTSgG2dRQ0SWrqgmiUFfSIkdXtdQdOwGRqbMg
aIQ0TI54FblTdBG1IVm6UXM2CzSRyHDBr4R5x406ttmGtEtHW1Y+f4jB/W+iKrKIC9ZfpZUrbAYQ
RD2jpoZEzfnesZobJ7XaD2MxOQ9D0Jl7g3H1trR1wg5nQfh2prNrUp6haqzMi8dwb5vYzrjiIdQ/
2qrlh7AWvFFzMm3L2bMmpI7GvASgwA4lc8F1WHbRQ5D0w1e/BXbTz3bHmCcYuQ16QkFGPH8fChl8
iipMXJscnfADvgTXhj1jftd6NLI1Cnr7w6idMVrDeWxffCv2IhxYrfPQk2lZq+UCY+C6lEzoAO2C
nyZa6UoSAUF7Q+jfbokBAAYLyCWSyW9AxgBEUpiPE+M2CZ3vbYMheZja7lsyjx+c2fruwzn4TONa
uHY6I/7UpuTVxYTmQ7sjX6RioA+SzbC/isDqHZKaJ0aCrg+CMZjbl07w8/KR3yMZVXrKfbd5iZdb
Pxtrdc69LmIxPgRb29XkojAjE+i1kmNY2P3G15XeEagQe5IsM/NguMhrH1jp1qMjhj145oUnF73u
wByFA1izXNd10u6H3EsPiZv0T2k5d08t4VTGTH7DjQGd5iELsXaLLEhPOFoAwxhlt+0xjdx5Ppdz
VS8I9BwZZ2OxbLptBz9JjgkK7Q72PEli6t/NYN1pNkIkYUJ0+Vg8JQXoTaCHsXsHXT3ZR2Eo9qaj
g7cAqgLoBcsIbq3BR15KI9TsJeYANJ4Z/90UaQj8Ib22sCqc01Tp+qY2lrkGbY5H6VfyPjBsY48r
375XYF9vBsd9CfKarRGxCbznbi8QXpk9HmtNsUXXjaSL0zgK3lrMB0S4hrJd2UZn7EuU4B9Okno/
mGy36wb+zlnDC3mLKBPfhl3twPyi9nxrNK2PFOQv1yMgzb0x5/FbhkybrJt+pGcuxKZgNuZ0gJtr
3WSUwD4zNpi3wUQ7Lwdzzb2nCr13yQR98qygJ4XjRg8ir8WhJ2YsN043sqNXcY9Gg8Dx1UxBKcD9
zG/pA6BjDPztpehC/46cjv3M/h85mSyTsR1riPmDBabd7pkJkVfx7pNYF69T5A4PeprG+zGJ2tux
qeWNObKTBm7gnlPgmHuTGqg1wVz5VJEg2bT4wgBrMaRfu4L2qlUNvSICtB60DxpAfkHZCVVLq0JK
d4P1pyTuN9A/F8s2X0VUVD7Vuk++ubNsDmbPQyg18mbPrYFvAUrgrpqqZt+W8Io3TRU3GxaU5CCE
U5+zQRJXico6ep7Z7IWrEDT2MmaLJDBKRU6KufeJ3zZ8tsxyPk3wk8/IhtM6c4O4XieyEPCM8sQ/
Up3m7ogLSMwAoX90G5/xCGMEMsxL7DBKY/AM0uaeQCBgwuVTdQtzSh//GChFtTftcN8bWxV0Afk3
kfnrPqACGamUBY7FgOS+YBHwRlS75THWpw8wVNG6EjGtW54CX+LYn+HlKnUAO9R/V4K5i4Xh7Hwd
lwwlFQkrD3/VK50Y5hvpNLwGGdv2H42POWZqgEPhF2TWtUxXrEK6cEUYi2AYy5lDu2oZgGFmbjwk
rd5L2YlyD19Rfd7GMcNFlF0OiezPUJUBLIjiyWLbbmfLTD1tm49qbJsN217+qqOpl4mJkV2ukzyr
Ca1HBCF2vU5UvvRxnu9bvyv2DOOCbTybgnf1wieoUTDEuOzzy+6VMHB7pMzOS0lAJe7GC1KxvN5T
Hp66v/XRmxhURfAFNPXWF5kSXzKNNvRXCOXjoUTWs1Yec8gjuRvy8Uyd8xMkFMYAqpT0eCCPzQfK
5/iFqZaeDz6NFk8mUb1PV5NG7CxD2auT2628gvWMZG4xVx2HJYwenMYZLq2pmWURfDCeq1ji5jRG
PnrPpketVExAu8yOvl2HQekyqMq1dM8BhBHmEw0O5hp0MN9+w9uzEdVHuzLSl8En41gUNSPIWhpb
FwAd8idDxfA6Ol5edo2P+GkkjFEHyaDXNpmalD5KLA2Q472tJ+cVsHq2LSpucMI06Wnmjl7j3wTs
4IjiO1jj7ojlo3luUrj43EjhvYyM8K5NOh8OPAqudPCNx7oqqASz5aeWvWi76mIruMkG+hv+GPpY
lGrft206P8yG6L/3RWB8yFUVMLxtE3PjGfLPzyltR1rFBL/s6NjDTjiVecsolBI8sv/3hMAQFTOr
2xruGH8uusZ78Mt+3Bkkaz/a3eR87LXhfEzcarrlTSV3UR0ZmymOjQ1jReSDICgvtPzqxzLKi62l
i3wLP3O8vV71lj4DjFSed0fN6U4URcmLr0nOrsY+UVPbui46YnolN+JuhF92Vsin28JP2mM+tTbk
xtxkUiwcvsSKQs+OEdpd4JnhEbcPiuv1Xp7h8j7QoUtzH6OG8wy861Y1RbBFwQwhfZHpWzHySe9E
neRHiaj0yaeNed8GuGpBuvEyJAHExz+TVUgbCN4mCTUylr6dr/EoRjwCzWUiidsppaybh8J0pD67
uFN6njdx6QIKw+wyvQhsfS5Ee7A6M8gG5u2pf5OBvoFvqRKq9SLyTTZzb6fLkQ+GmTS0GpAUdDVC
m254dauIFLyqS6aSdDJSjm6ZOohXnhn5W95N/ZGycfJGgdOgfbdZYa4LVZTPHSbUXccDhzUQWvCZ
sH8LfJgQhe5kTyCC2e00mNWpxj62w+lvTOA/C+O5EYLhGtlDVswO5KisRwAQYcNXs3WpI5yvtmyv
rxH7qp4BpFlkLwKVZZtXDKVtPzbfrj4oh5qZjTMM4g0UH7PTMS7tleEsdkEMI9sYYzgCN1Y/nSp1
koMzbb120oB4LKak9tTjkct9SQ6q7THxrQoQ5g9CooSSVMsYGwf8x7Nj1CE0f4a6N11rQIzhr94n
Ntk1+KB1cKAywtnHdLxSbxbI/VDH++WM7lQ0UiPmu9GtOccWdPM4f7LGFBC6h1thriJjz96+paHP
nawvUzF5Ce+G+gn+Bz7ZNDbOiOX3Hbn+FTw5EPSJ8d2rW7UzneKT3aGCZ8kU3HAa6SYTJU9ON2z0
zvP0sC2ZwO6DAMm4YF1yxvencYbWQm1ZIUZo1C4QroheFsaQ67SR+VdVGF8Z99+NFhUa1jjky7qt
PpIRpP9hjp+HMprX2jPCA0+rPReiX+NFh46PhQcJ3PtkFARe2gRXC6hbmM/esADHbLTG/6buzJbj
RrJs+yvX+h1pANwxmd2+DzEzgqI4U9ILjEpRmCfHjK/vBWZmtRiMZpT67VpZlSkrMwkCcPhwzt5r
626DvMYqYdY6JfeLH1WyqzJtyYyNOqAkfi0PA4Iugnxtk1kbLQrRtdtpisNvQUv2TjIYqPzGdujW
gzsVdyWWGOJbArSQi8wMD2Fsl9dkg5ZftIBMH1b1DIdgSR++cxCHGijkVqlLrmLbjdPeJElhC0iz
3QGTt9AEBJW8lq6argmCV3cl0Jw14h+H1v+gspU92fZ6cBQINBWGWwKl4k1XJVTj9DTawx8Y6a01
1XdPTdnBgC1FSye1PLXqi0CQyeK2Q5Ic6vw723vj68Bx/JPhtY2+VKZV3HRVDBDQLNr+2p/G4qIZ
aTBBuSc/yUUNZWYZqPAE8+0M5OctkgJkfZehrPplBxfrszSa+Ca34IUT2Ky+2or91WIgPfRqdL2G
XM7Q2Sc4lZ/80Zk58FDcHvV5hbSNjBC80A13Q563hzBy5acwq5snHPbWDjxOv0+toDv02pj82cgY
lVFo8HKLtvGvO6fMfmQ1BLKOAK9n+qgF9lroCHsjMeWlajiB21iF6HN0ueSsW8t2PWqNfBC5k62R
9hi0sPC2XhXa+JJ0jvvFLJwcPc/kLoMgnTboNElSIPQHWEI40UUNM8QarTaQ1jQqZrI4jXdxSTZ6
SSgYr5fVdk+QOIZThCyL3nBXQV1OK+yk91pKSzpvKGgxyy+o2ZJC6NGyTozySYlYrBKblg6CEYdI
QIud8bbw7Oy+SLLisplS80IpxBvs5zOkUbh0k9JttZ2oey3bcVyytRfg8IjFekBQRmu7j4DoyVgt
0TNwiukXphb5DzRCmksWxfSarWL8PBiieIirpPpStuXgbEsNN+si8qsogTQwQygBxxJ2oTX5DUmL
fb58bU8kygZ53ao+3ndm+xL0Lu17KruXg+fmB8HO9s+8BDYJtB1bjZZcTUUHo6AWWrptUBsuaQgX
lwlhHiHK6bK5ohAYXMVshhaxTON67bpWhdbPRpqqwFzx/f8AJ4XhmjXNW7T4bxFKNNMedGZ7neCj
Wkl8RY+DqgULl2OsjTzzb+pSFN8pg32Tcd1/QxB5NwHzlhuHlstKo9uyjauJmb3UBLmnbXpHoCXI
EqSh6tbS0zpb+jYKvrDVN1NHahJKRon7u5DbMLSdSzOBI7wASO9chGA3dyBog+90n2rkEnqxsIQG
ciMYnHuOOqwniJO/+Rlw1jLwnuQg+4NOZMeWn0Jwy1A1dzKSPxxixz53FLUwtPndpkvQvfHcxviT
5039tlMOTwyE1RbkyKCor/BQhO88OV0o76OugJ/RRnywysOwnbOnGkPb21iatW1EaF5zBnlkQk4+
D+Vk7yvUpYumb+x1meb+c+El0zKlJ0aZUMRXNsRprMYapxhTsbuFElOR6dLntzmcDHa4GvXmrLlo
3DG78SPNvnYqnbCi2DavSEgXP40AqFkRE3uj2ijY+7D2PufWEF6mVmLdkXPk5YiYJ3CKX+McSEaY
1NuM6XbdlQIQQTPoN77f2kDiMBQUTVJsR5zrdw0z7qIdsMZ7XqdvVdreBy0A2cHR7b0IinHb9Opb
6OXOLg5CViw2gnsmUm2XCa+7ZCvn7HuJXqsOqoT9b5H/bBvyCFZpU34X6P6/1m7TIgAKEJl/L/Q4
1g9G2foHt/fjFdWSnsFWm/etqQ3jUgNA711FqQrMZZFX1bAQhKVYmyqnjLx0Q4WyZlTpfZ4ReJxZ
o7cNo9nIQwnrHgX0C+HPLSZqtiqqEsT1Tf2fhOtktCzNbMmmikNShZiIyJX4Ios8YwYr7kj3Q3pd
uhY0N/sxQ0y3lD5ER3aF6Ypyx5+1GSHi0EcCXWLWV7IJd+1gPzscQYZ4urSUfsMeas6Qo0ykta7x
p/TS/iALS6ztinwGMDzqc+Abu87T/J+hLaxrS9fMm3rwflaD1B4DPr0HkssIFbbqoqI1rgZ/VbvG
zHq3iq3uDS3QlSpf2U0APxg/whmP0vsqKKVfqbNAU+LGAk/r69f6q6g9AvMi6q9OFad7I+seYMpN
u8DmdOs5FPI/rrueaoJgFMZbA0rVxWv89nKBqnQDPRCXqxvrvjKrLScAYBMQKM+0W96Zal6L2h7W
T7bhdFz048ryNP1d1Lantv+zfi3Sj377A9gdQeDw6fFLoHex3Ul/Dv35RNlTj/v4dk9V74lPsB1b
Cjyo77oHjmgmvACk8TmBvLHggXwqA+qkH1/l1EPlFc41bJ3G57G7VuJJaWVGD+a1HdLBs0ZdPA7g
KuPyzPs7dUMS4QD8XEpzmBTfvr+EPBU4Tj2dJSKIVmjnvtlu8e3j2zl3jaPuTmQ1ps3XqnaIqAl/
UFvpZuccb/PLP+54MP4AIDEULefd4PBit1cm4YclC9inoNXNPTGlVMu7PvoSarRakCjpMzMPSo1A
7YeB71xr5/2nJzAlU0fl+/M4v8zP4ZcmqrRK5IOFB7XVgCPZQFZawuSrLlMtRvlTevnqd58r1yMB
xGMyxYt9/O1V7K3cEdPPLiNl8yDt8QY4knNmPnk/FgU9dOBw1HdMhLJHH7gXkGZDoEa1g3YIuKok
UgtPwaUTU9D8+HZOXImbcC2Cag18Tc7RMPHqKJrG0S12TG2olrT6QEjGfanix4+vc+I1GY40dYN3
xcz1Gmzyy2uyyywRnnKK3RTppMk/a266jJN8FlztP77Se4KcC67ul0sdNRs5qNqzcwOrUOdRvSNz
eUEKx1+BCFiyunx6GIGTbkH3+WpVycZd6QpNis2+dd1MZrOOaQFtzZqzdKYEVbBMIviy3LiEwkb2
StCH0yc/ZTMoq1wgFqVkzOaqWacmCR17slCHq75oKWON+HaXnLUBNhEKd+ZGpfHu86OVSXFf5wMw
8K4czc2wVjXh5S3PtA6bJy/L9Sujc28J5Yyes6mFC5kSfoig6qvC675xCOugcWVf2PiCIov2jFGV
CWLih8xnd9TYITL/7Lbs3U/EZ07EkCak9yISX1QR2GZfxQIdZl+g0eqg8Gqx1i4HWcgdDa5+1TR4
9LhOvOIc71wmEi1DnABhIZcuXHlBv5ycYFiRlpGS9BmYIHC8qda/O7Ow6+MRcGKsmfj5UXCwZrHu
z93SX8aan3UVbdiR5xJDIe4MT1zw1gdyERUieWJj+t3HF3zf+SXvzZHSwsEDweO484snoev6Mit2
nttA/YqKbF0Bh7m0RdlsfTdoLkPqL/fQ24LDx1c+8fnS1tZnWiSalXfiC/LPOi1s7Rz34Dh+6Wz4
+xVF33uM6vHLx5c6cZN0eZmNOPDw3+MeOs0RNp1jm++yTlEaxdChqNnA/MVqoi7sOonIPqXLNi56
k8rdxxc/cZ/sq8C662jekBIcDXWHLAbOnnm+I2k02lZkgwWz15tQyL+zs/5Ho/37K8l5kjIw8MJj
sGY856+Dh4NgHWAcTXdYjp7GMe9XpjsAjk6F+O1hynYDwRTCKGQY7/ziJRTFNiAmm+YiicuTTfVF
xJ/73rLJJ7Z//O4DlLrgxkxDQmAgPertbZE2XOYyrbgtKxM77Lx5QSOBwm5NoPM5osX7D5CLsbVh
a2DR1TpevioaxKHdZtyZJu9DoT1hT/tBcvY9gsAze5D5W367BeFS6HNsbo05/9WN/cu3DhY9GnON
biy2xLWgYOIVFhExaUcA2+zmSc1zu9HTV4T/g4xt/uiOlxdZOi6G5GRXGd0+8crnYjTuhUpIcYXN
AivTvPz9V8fGG085uw6ueDQiLWgruG+dZKe17X5Mu52UCYx5/cxl3m8YpW7hWAdsBGDCPFZWkWY5
RBE/egfmfzaEAy4rB1bEj2/m/SzCVQydzQYoB/udSR+HzADI3Uh2SnCs5biHprT96eT2TVw1dNVI
FhNjcWaWNN+vlFyViQN9uwWZ4Zh3ANYbB0CIqsqz8LH3KRHTy7xMkJl7tOqmnE5WPcJjXWCYI+IF
NGhJ7Vt3ts1QBRcpzaQNtPv7abSqW4S40AXKks3BvC2oZhMC2hj7wTOBPOAItM789idfzBybQUcA
z9Dxi6EvGaaUN9MdJSqCJEcv3msDxY6PX8ypeQ+/G3OeAZr43ZYzkxXLSFCku7xxIKQV3U5PjHvX
ac7tWk58sBZ5NagqAU9whn07EVlOKvKyypmIhlLQzfbDi8HWh83Hd3NqBrLZAoBf4FDOs3t7lQls
0RC0WoKCAEdL57BMYQBEU1+n39Hr//4umjMjMlGWjJmRdHxCxftuQ3XkEx0T/8f87FRk32TKf/r4
rk59PDMY2UGSy8HgeBgPNZkXU8HHk0aWe52MBnV23/pBxbXYqMBy/+xTCDuoWOozS9WpOQ8hqWRf
jWTw3aGH+okeCtkluwA4aZNrOCiCTRk/lvF0x3R95mqnBjzHHpPBzsnynVoQGAI6MqzLuzIok21m
W85Nb+LK/PhhvuO1wD8inhuUDcuRQOZ8NK96rTm0FnW3ndv2+mMU6iRyojgmwlSQLowBon+IDbdY
tkXTfa7IgL+yUkdsQxdh14SJje4SeHmjwmOOP4OmbNvG5063xskn73DC5suEZXa88VF+rRMqnbHa
DJJaYVM9G41XLJGW1BeR4z4R7lEuHdITLtNcRI9J39UXvld8C2nrTvbsvuwzeUEViezpUSvB4nIf
Hz/IE98ajS22oI4jYAscL4ipw+8QDWy3+3z6UU5Gs9FLFFV+ShN7fP74Wiceh/EqNLRmxSq77rff
tQl9Qpe4oXeTb/zQKTisMkt/rkfw+w75gpi07ObMDuPER2cYlO3Z0bBivdtid4pQZBUU3F5sfQmj
ABoHrXuKmWpaCNyZD5XqqxUt2W73+/cK882bK1JsEI9nSkmQRaTcuthxVrvC40dEpEpvkCWTTZQE
jyMJdmdKYKfeJFs2ygBA2D2msqOna9NyqGVV7DQ9qJaweGlN5qK56YEe7DKbg/THd3hizeEG2UPN
oaZsFo++wMxXMowKHu3QBUi4pepXelVUK4Es7n9zKQ/3u2uzYQTX9fbWSkdGTZZzRDO8Ir8Guoxb
02nsQ9Qaxpnp69QYFXxQsw9hljwfjdEOXUw+URnY1Vl7D9XjxbKq+7Tm/ZHifeNiav/twxETGKYL
ExAZOvLjD9AYKLib9ZTvJnNC6OP0t6pVq5I6wJkLnZiY0RbDIRNUnrFxzO/zl812OeHW032OgGlg
PQXDsHWn6v7MkBD8jKMN/ZtrHI0JTyNNSkqugarXWEBwLfcgaqxbs7WByKR9zVPUsUb1qoQ2FgcP
Ra/g3Fo0bFoQrhT/WiRReUS7R5KyoQnDANiAGzoSjdqTEBPemB6BVPmIQ8sv9Xyb1Sg0ON2OS7Rw
/kVouai1iWC/toyZZgTV1ridvAzFRW7A0yiyWm31rvLJeEU/9hlwK7vDYjaHwwX/HA5OuDVUPV6k
GEavOhFmnzpNdTs38e6jIqmXPOFkk1ErIiMXtdAOhVK2KPqpXPttaKEYTPrLQooIylHcbj5+vKfG
Jqu4YzBOxEwpffsGQZ9UzWgzNtEKPldD8+yG5WcptI3ICky10Mo/vt6pL5w9N5s9yvco44+uZ4Vj
TnLrmO9Ad881p6veTC76Jj+zeX3vL5iJp6ag8EeNwPaOLgNwJBRq8IiL0pObsowUwiH3zyp5oBP1
ia70srXMb4HKzxyZjsPm8L68klYdmyfK4fp4Q+aVYLDK3qImUozTl5DMqIWrpHaD2l1P1zTOOeNU
VgaPIOmqVUo4BR2unIm8MrsLC6mvFffahdBbbWM0Ml/6qMMYcOUW4wdtLC/+bhkAyfsBPRBImmDl
NQZ5y1DzV4Hh35kJPn53sqoFzkeZ4CrEnhfz+4B+KF8QfhvXpM8Bsx6w4OHo4v/PJmsZ1k28dmAX
PFbCOvcqTr1xGwAtlFvKDMKYX9Uvc0Sk11aWJyR3ARAb6S4txl7fJkbTnRlZp+aiX65zvDHqyo5Q
NrBXO9eaycnUG5ZEe6w/Hr6nFkQbWh99BfptUEnf3oxemWVRgW3a0XRyl+NsWdThzCcQ+MN6PGM6
O3kx6pWcWTzcbceHCFsxGeUp34oW2oSJAE6A9rNBBoagsonOPL5TE4FN2Z/VAsveu81vOo7CjpFS
7FSsbgCikcbpj09Fql6aCPNWaJ95ksapceFwSuIAi5fKOe7TTHWZ8nzZp8VDCk1kMo29O6n+wqQW
vyqEFu5kWeH4Lj1xG+l+uBsDlM1BERFUFbjJxivk+ODgC0Cj7Qcgqz5+0yd/PSZEykjUb/HxvH3T
RFrXWhKyzemr8kV4wWNodnepoJn8v7iO43JS5Pg7+2beXqfutDEsEeXsOImWVHOa53zU+lXRqjML
6alt64y2pcQy/49z9B2K3kPGjQBr1yAcD2t0bn1+owoLMLzxOS2q+yz1zhQqTg3gXy55vGGNJ5ki
1NGzHblBW2IbXjyZonC196rozpw5xKnxO4O4qUWD26aW9PY5NnO4wTQ4GdOMOX5rwvInTEDyAVPD
XVK+DZYzH4BQID1fR9UsONaMWZ6lUP6ANnqSFFWe/AqqVWsiW8bagtkgbNQdGZTgf3OCx4l+djeD
07uPrsWsCdCqRjWh1QPRN3NpszB/6r2Jph0ewlDq3+KivcKTWK6h/b9EbtcvslFEa2KnzbsS5SWL
vWmdGU2nnoI3O3UpcTBujxuwaVrWJEeW7PzK6WJqJmPR6PIJ8/iBmikRoWN/5oKnXvFsz8Ax6FBs
PX7sZWwEY8VmaBdVMAe6slXl5pVOIALgOot6FqZ+/MGcuEXW9dltDIednfvRmcSzRxfkiEh3UBrl
OlSj/SkP2aGNcVE/xXCaSaQKv398zVe9xtEmFO2NyUPlE+VoezS6Am1M6cym2c7OJm8Z9q19J0Oj
W+ZitA5hkaaPMNhgH0gkW686ZTcE/5C1E0AstERbrQfnd+bRGyeKmKgSqPrMs7bz7uwbDNZUktnO
1DH56NlEIDeo0sSm9lW9hbksFowU5FMWGEQSkojqrhPk1/IcilicmCtnXzhyDJjZNNrMt9+ejjTC
zpoow7ccg1F5FTdHAvQFAsvcOvC6nIsmRpKIzwJKWUoR2dDIyl7AE+mue9Hrm3H0wU288uWbSf/C
tjjfhj1DCtsE2Z6DZ23R5b6MKDKZsru1tONwjWBQrpSWN7vQrpz1ELbOyg0OZpGIu0Tkw2c+W5wo
ZIZPT6HbevtUd77qQMHOHMxP3T8dMDzoztyhPy4cUW6L07oR3H+aDHdgShGk2UP0FBlauPl4JJ66
FOpLtAa40Vk2jjYgNJ3gkc/LEhDScFVW7mzpGcpk74Vp8PTxtV7f2/Gon6u/gtMry+Dx8T/X7LTt
s4jDQQeMZ0EM1YjjY5LG1i+LDsZqahyMQvevm8Hsr0xTC27MRoNbItJyW+bgXF5/od/CN3yK/lRF
Xfxs/u/8r/1ZlKMiJaN5xQf891/dF4hPsw//ke1LMbMP6uN/6M2Prf/f698OXooZmfDmL9Z5EzXj
TfuixtuXGg3/PwSD+Z/8d//m3xCGM/gGNEizGftfKIH3+IboTwpNz/mvBIe//6V/YirMP/guIVH/
K4HwXwQH0rupexp4gr2ZKS5tdgb/IBzcPyjE8OohElLveqWZ/4NwMP7ATkZ7iBMP/vQZ/PDPA7j+
awzx7P7HJutxWRM+BLZzyc6akUZwwvEnVA2QZqu0Ng55KYk0WnaATIedsshlhRiTs/8twhGxcZwY
Wv8QDTSjIAKFQKdq0sOe8fTlprHCoynwKlixPdEHpr8p40NgzlRbz8+TAG13zdT4y5P++1b+DwrA
a3aWTf2f/3G0AkLvm1V382Lr8lG+k4m5dQtVVE3qgJ5puDXCXFtaBO5cjp2jXyEN99Mz8z6Mc+bT
X77LGS6vs/5JIATuDM8/mgS0KMUZRUr2AbT+JQwfLBdpRzVtS6EkqHSszFq1M5RefvWo1FXDspWd
I3ee3Xb+xgoQqV+AT5/dWx2NdJx6fjttzQavlJtHjlgXhHBcU9837lMT4dFW+nlxQNtJgz8AcNQt
jMRX9qIitXBaWojXkg3ZZzxrze6GWyCkLgaZyXrGTFbUkAhdLuWFfheslePH2aq3IA2ggNFqd2nz
Rqpl1tRtu2HLPQLWjcx7ZQgGQS9SC1dmFm1Hip+oCxpsUsotErxbQTQSDB15pKAa82+uhzJFvBMG
5r1BEiAEW6fm3pBoV1+1EINmYPf8GgP+5QHvr1l+NbseTbEN0iz8PIQZvxHhGeJiBIQ7PKhq1tQv
Ks007s04NGpWFaqkV9RiHA1w6miXX0zR5uG+UTXjL4DEtdRM5LG3k8rNe0RH5vAEuQeyszAbnlxU
o7lZjE0xFBeqdLNs2aHompBxa1w6LTv+btliX19jaMxJWJ4q6EcaEt/wGrxmbS8KbFwhbh7B/SOV
sp4BLfuP7Wh7j10LenJBiB9ujIpWE6dffrReVzwk+MK8BVs2Tf0l7EF07+QE/2rNcxTt0opm/FAE
HLmnI9ZU0904FbzWbla7Hdj9puF+ml+JMz8cD/E97w/t+sGrtNFYRWmjOej7uv5TCFf5RnP1EDv2
wMfLfgSLQYV3mTYbpL8UA6bBb6moKjurgnyStfSdgLjNysDX0w/jvd2YDTnaHg71LMZNhROzLZ6D
uLE+jWNgP2qdY1z1XZleY5ELns1eRhgbU+kuIzN3nvMg6Z5KAThxY0wM2bCHNdX1XeMuw5imyTLD
gg00c7CtYQ00xHvUKIA1NyYcerKyOodhg4qdx9tHma0+Qz+02E5ZgUbWc9Zi98FiI13YBKuYEQk6
NBt4d5EoZf9zjMe2/Mofs/gn9ZXhNsp04z622YIsi4AxUoPDapdh4Rn3ozm/eYKZK3uhETRoLxKi
2rP1hJ3+K0+GjwvIFh9lUha9v6l1wL1fAFYPt7gA+BAIxOIBRyYHx22Cnv9gmVNYLvyhVrugi4tk
E/vmcI3atMKmTcL8pcAtTjhY0XIVEHvxRKOw1rz1MMQ8F/g60J9AZxYHEFSmuk+mSdMeARJM1WVj
Kk1dj8SX+0QvCqbfiVBo7yEisC+59UnW2g2ZpqolwRPiYoJC1i2mMeNZKqyQEcy2PqLP5AU8iFLP
1M5P3XTYSGYVfFYVVbzl60BOBo0Xh0+V79ju5o+iUZKfMvSCOTSXhXkftZoB+stwQ/vLkLqt+Tn2
PSYKNzBeE+J6A+S0G8PmnFl0gLeDeMAMGaj4mzJUH0BQbYPmh/DdJnlSzBAGWAOfZMPPRZbnZFwP
geZ7ayfFOrk2E46NC2QY8b6uwD9TQ1PGVQzLc3hyW79KXiwnN81qIUfiMteZ3pnm54z1Z6oWZotR
6sLPTXB79M5tXb8ITTEpUgUduAIaJetv0TBRu44C9ypnZ/nF6lp/9lzeOfQ+SB7NivZhLEZtjZkY
6HpR1kvRBuGFSD1/JWajxCKLOFRSwhhhYziZtcNbb8+l4hhY2lMQyrbeyNKyczIoyxFUdwpDtyxd
/bEGN7sUmf5NyzvYY1DIF0RO41IkbdPdYVAKvqe177wMAXAWGF35ZwT5l22vqnGdkClwg7o9+GaJ
Ll9nLFKrAl/gLbjF/Jshw2xj5nrgI5rIAPJAmLv2AlyhTplgV4SqkH6KyiB9MOPaWXh63QD5a5CO
dwM1eGyUGMv68nOXTtmlJbt23fZOesO0Xn6LvTa862R63Tv6EG9VhV2mGnE16HGRbzvwmndBbacP
NDjrYKOafM4DZVeQJtUE3NNLNmiG4f+jFsNS6ThMe50o7ll0yi+5lZXhKp7qfONGevEU2vb8aHE1
gHmy2nxp09W8Ku1BQJ7sMkx9Tv0zUuDz0lbKnTn3v+FImFc4DB25CiHK4ssa2Q6sZu7ioaqzYuum
1YjKNRXFxWx93ASWcRP7RbnVObqscGmUX+JElT2rVGdf5KNvdOsxc9qrqpH+Hbm49larpwTLDJUN
5JaTy7nJtq+0sKkOTNjjjoLhSO6U4XH4T3pg7wrHoSnbZdWO8S7Ma/u+i7rph66n8YHMjOmgcuWd
AyUdlZrYn8xRIpSZ4BfRtj/ezI1ZIBtPNXKvQAZ0C5gzLDEMW+a5fJg5czNoTCy1rOPPuhbzkX68
JzuqEfAL0HrmP+Qc0nWjPvH2QFoVmSA/D6zd0JRql+Q+7dlesApKTXFK17viALFdnbnqvO16uy1D
ucexDIEJ7CaEEW+vKv0pdMLe8vZk3pZfCT9lZiobk03Ox3d3dAZ8vbs5cIf9Ok+X/vbb6xACY7e1
F/h7mcxbHEdXLBr5UH61Bp8Z6/cvRh0J/CM7dA73R4/SYBLRAnahezftvXVRhPJijhxbalHrrT++
1PudNKl3VEI5DOgUNI6VlhWU+xJeAEYp6KtXecve36JqucTyVBzquaz229cj7gb5Cn5GG2XwUVEH
KQfzRppZOKBD//GvNZAED5YsK6/ZDtURzo8zj/P9GHEtXDMUYWdE0jv7TJFLcDVpYu/bNprtHpog
FLg/p287eRVqER6CKsvkZPJ2hKS+2ec+yWR7kM74V6I82jru2drfqatwoCRdx/YQxh5/ZXYDStzS
uBevqt2VHTkEzg6gRn/7LcEbJDrH5bTDcfPoLSVVVkV4sK296asIAgNSBzhHPYi30W+Mq6YcuunM
ke799MGczhTCbdGx57JvHx8ccX/sU1vutcK3vxgt0J9J79iKtHSY1jngZRPmx8Tk9fGtvv+wKex4
NKC5Wyo8x7eKXjCC+I8lP2n5uHwinQ+NDVJ1im33TKfyxC0yOKhVsQenoHk8VzmYjbhUZu4HbMNL
dL/FYaqb8msqGTDJfIIb5lHz+/dHT8eln4/m7J3muNOBwoYQHPepDSAsz6S4SHU33HLQOfuhHau5
mCU9qhNUwiUpejOC7e1LLEJXuTqf835StecuYiOzUAkQ83FLoIci7DYNicgZ2SYPPfu6nr1WfdVV
3eBvpFZLDheF9QwkoP5Bt0Sw65zyNLx2E7s8J297P+/R3RM0mZjNbQo083f2S4c0j6w+GjWfEZ4J
LhT5Ufl1pujWC5SJDLXYY1v/8Zt4BVa+XatmaSL7SuxmeKWONcRBSr3EZ4nZa67GXndwBecHLHzN
D6IOWbHgFM/jPY6Mq6pNq69dB25jJSJvuK1qs0rx+LbTnNDQR9tmJK79t796qpwW1SA+Bt7dcV9B
r+pwgjNr7bPJZdOtW/E3I9DEHnV6Hi36Sj9Xxnn37dmwQ/kaKOUwRFGOv30JFakMbPphH4Csxa6v
x0G8GKucYTqUnMY/fvynLkbdCI0/iuf3Jkp3gqAZVKBTBkQz13EOkESvXU45ll5ySvr4Yu+mae6M
6rQ0ZsEa09nRtiRLNKOsfX2EfGNxsAwiot7ILQg5JX58oWNVtYmUCpgxa7fFzSGrOhrIsH2iwS6d
ngVchfW1zhmuXWpu3aC7oH1dH8q4oxIiA+lehj38eU4kUIEWVTovg0U13IZRQp1A6zksLWtjKr9O
jlI7XbMpZVH1EhsddwLH8wok+PYVyNXkhVdkvzsRv2p3UU+xrqGzPN6JRJBGSgcK/d6cRnfVY6k6
ZERsbQMdvuzHD+3dx8+lGAMSgxolvXeivibQzaYbQrVXmFAvXGStKQwesgAQxheHmRJ1rn44r16/
fPpY+pgPwVLyv8QdvHtL+ZSBLVGW3NtISF+QcXZ7JX3v8bUgYjtYemHCpoQjDIN5ZgEwj4cIcciz
a8cWXHmO4rVmtdcvc51M/SYibISwJoNK0rTSY9dGqTXiJhbmkq67+902kkSuuqI26isvKPgChQqi
ndmMub/AXD7e6m1GFXFK5npNhYeQfX2r+DNhi9CtMruOt6j4omsHKnDOT4KRt/PgnsQULiGq3Vhx
PT3SKWS501gMtmOjgPB0BFHUC9OuEXr1A6Wx2k+o+yUUjvxFVHXB3FxCrvQJs3miVqQDZDc91YYr
ZTcaESSRfY3zQ5u2YDqI4uyafEJ7V5k6TItYh07hWC3MQuIgLpsEKDnBygjoVgX9Uw7QU7QHp2As
ZZdaEPRag2CpfNFW+HapfetdXzyLKc4LvhnMSNOyLY3U+EGqXUJRXIv5XryhnIuhY5CE19048GeH
UITiwoagQz9QwefZoUrnUJJX2KfXU+X8vfmEl0/lxUvnfU1V8q2FeWqNP6mWE2eRkIDAwX1ETpVc
4GwcbksYSOE1ArEUTkZQdc1NLWpeiFnin1wXRlYmt8Wks16otjGqDTqp4TbB+nQZ2HaR3DqlUf+A
K8Zd9CK2phdh5638pCpjLkX14B4Wg05U64Zbt56tnl/3rjSI2FwnZiwvO55mR0WjpTYXwaYfNnY5
cnnqIFSumimkEO5mI2FNnfD5ieQU+8b3qRf5RTXErXY3QIebllUysWoRiSIp4YSpqM3Ped9Zza0R
wZZZJQyX8JrjIiAmY3R6gqi0SF50nSIscNU2nbacyryEtWLOysApYATl5D3YC9PpI+dSkvjUX4Qw
NElnG4wuuipUSk3LxSE3bQe6sOYCzA5VxoD0A3Vv5JZKt8AiGWD0s+FUaJFibXjdB1CzZ/RNAfhj
Wp0FdTMSWcV4wN8/4HuHijP89JrJv3Ynojr+KsFZacsvI8LBuJexaT1Hfhj66xriZbn767OyTeYW
GGTiondE7D7nyJhh8kBZuTfg40Q7qr3U5s1GMo0r4i7qbeXaHIzC1OK5mvVcMxdx3X4fo6LvNkNE
Hf6v1gyG32ffEvNGIpDs7dzCkc+ZEc+VWEV5flEiZd4NEPim5evy59gtRcaQ2pVzaUEFnBbkMA8x
OROJXh8yL+AzzUqNTkM6Sh6s9DsC3WLPDKKbOq/4RQyd2gnATLOGAWJUw7d2cITWUeixkuTWLfAs
fLKG1Li34ziXM00zGl9cjU7GOnYrU96MRkkVOBzZG+PhNXonYz2mDUCMSUi1gLEi6eYkfMGNcJ7Y
mCdAdS0SdkuxSAkV0OKF708ZtXkttUiTUTXVeijOPWEoKp9cKgKxJBVD1yHtQOIipY8C2dR2cf/X
iv9bfdJ/owP677VS/7/qk/LV/LL8nuiT5vlLXTSYDF5e27cXP/7zP2YHJP/WP41S7w+OmRwcaIcK
HC46C/bfqHvP+QM3A7UC97UXSungvxul3h9oyAWu+VkYaFoOi+4/jVLxx8zwJqB9JkED8/69RikK
7rfrN1ADDsE4smZV2uzfPNqpCjIiMrSh+iHXtSKsWmB6trYaDPKMo8YYynUCDr9YjILQvg1BGgbY
lLIR0FxSBxjYFOX0mcb60zD60iuAmMXT0zClUhKexO5q1dfG98A1g4dsaJ0lId3WUydl8wmATnM9
ocnwN1ER4zUo8HUT5snfhHE1eOVWi0N8fE2cH5x4mHbZAPlWNeK71kt/PNCNGlxKf2Zz2cWezB9E
4rfOZQ3gTwcHbPdttpCZmDnAc/PWrAd6Y4W+8MiPmsYaR2xSjyuhdLEMHdF+xX7R02tqCZD9lIjI
mvcCyKc3Ce/2DvVR9l/sndly3EqSbX+lfwDHMA+vQM5JJsnkIFIvMJKSMASmCMz4+l7gqeHUqdvV
VmZ9H27bfZZEKjOR4R7ue6/tRpZJqioKmDh7NtIZuhX7LxhtJOC5R9t12h/ov+Sja/fmsfW6dG9O
OcjZYN4Cic2iVpcZXjHG+vvczEBLW+LezdlgHvgr1u3s5XG56SYrg5ppId5WhKxuO0N7n0gnDX09
L8cj1YJCUQXWFgt6MEWDD96JOaF0tgvXzKuhF87tELCPMrreM459EEhu/UsQvyyl7z02a/Ko6mbT
P6q4s7RN3jZOscYlczJDXMtfh1GlqNpNEsVQJfMeNEMoQRCd3KAuyNXyeC/7EngXnU3Mbniex3PX
d4kfaUmTbr3MXa6ySuxM38dwTQ/CcBEOK6ZFZjeiqiIIiDSQmQBLO5b5zp/j+GAT2fnaLKR8gyLU
lqeg8Ao77JLRyw420aDFC0aVvnpOcEOQQNZTYydtC9UnaNs9u5FZb49p4lSQFPLCyYx3suJUwicH
ss9BJb0tWzsyZWNfAHWO20mPwd4RFnJkdg1wK3ZJtyH2T4h6zKPMIYzNrmUZgZPqUB91rR+uKATg
VI45bgtgVYAICBGtNO9JTM6mdMxj0qtbZwUKLuNCrG+9RmZKZOFw7ybw5J6odhWd6bOmpQ8TMvNQ
8Wt2yTIBuR7mN0Mf4dp6WbyLh/mRaXoLCRm58eLK/EaWmn5sHFvsuliapwCFUihoZ7ethlC4JMcX
1mRR70a/zs5aMS9HHc4kH1BhPkNp/V51xLZKI/FCoMJaZEOA2pGe2nXkfVn5ka7sQ9FNnBRk7TMA
kp6k1BKKRjPvWZ9Frd30O5tAWsGCcZOVWhUlUgs0ojPzFOpk+tNZ5Ks3sXUN2D4gPtfJcraV8CO8
VOMm6OfkBhgW4uYM6bnE09dlGmzXOltjXZ04slVu3PO/z8+5M2ukBTNnPyLw6H82RTOToWbx5vBl
O0CnJFqVAkmCUneopTxWo/MoreIKF/tmMWL60l5fQdpPmQtUTm+Dk5eM1zbIjlxUiGPT522S8+4n
0Cj8wX5updz783SbQ7gKA6efdqopYPTGC8qy2H5xLdb20MVaYoeLn4WtK5CRI4RjaIaPmYZ4GMZg
FHTQxSRr5WnO/Fu7AayZlwCMdFglIYJs+wGaLsutSVUsR4eRZ6tBy8jn4cIBKYnCTIP+4Kvic/HQ
RNHkByeomBA2FBsziBL5JQ26/NAzV9nwrTAeklQ+DNDjSK7eAGisLhNZae/FepqJPvaa0M9b7dw0
pn3NTOme6qZLIz4wWhok0G+eTF9BztPOmNOvtCtJMfZariiZLOAUrlYVFpenfs6sbcux/tDBVSSb
zA2OIveusaseWIPrMEY9UjdzbfQiSLfdN86VfmMOXjyEjdXll9wE3ys70e11PqidXsuejZaTXq1p
Cm7VpKNu0DpQwdAjE7KMWcndzVO5Ay4GuzlvPEz27ZW8K06XlNDVXs93uUVck4OR+j21s4uwUqqD
BAMiDKgRefdUVMLdmeUSP45ivG00qaIJZOMzspZnJwnYHGnDe7sEr25iHs3eIc3U6BsMM8UUpua4
w0h1rN18H5g5CUa5tC+mkcj96KvPCuLdlhi1dlUFPzV45nmABYuEMi2GsyNH/ZIa1rUPmpuiTV9c
ATPTLBYiAe055KTdulrwnbxTVq+2E4n1LG00/95vrX2b5dN14qODiTxgjuMY9b+LODFeC7hZG2V5
fNU0oplNbyC0a9gCxDxxO+52ziDNs3JzP5RDA1cbd2Yaibnw98XUL8e07g5oRk9DFot9V+hZlARa
w6pSI99OFNESB17oj3bAtdDu7U/gqx0HNgSCy0wm8ENa2ho3YSVvi35N2B0HsNy5k35g3rej0exv
pkxSE8bi2bCHQwUpOBgWCmseBFtTdY+ECFxk5pWfw1QBMJlfc08U24HXg3CgFhFK4Ow8zNYRsYmx
s9MYzksCuvoyAS0d4ImTAdlzCzs7mZPsZs2aw7ZPrDdifhuyHwzwoxrL2WbrC06mobSq+0QbWlix
KnWjjrrWZNg45trJN7gFm13VN/2NmVQxKg+Ty0uvZ8T5as+pNq7leSQV3g1CzXcuo46HBbFGdacn
zQBcZi7sJEMAmvfXKtf8Y9CK5TQN1rM96c0HLixorXGJNmIH8tta8d0GtjzbrufhQJ01t0MXfJba
cG+kXhaRT99dW6e6HytN4wIJZHCGGyiQeq7JVTswdvVJLu43v0XoPmXgxTXELwwuB7LQCvmd49U+
jMYcv+eLobbooIBcg0DY5vWQ7t3ChSkMhDUqhc2LbYe3NRV4S+SYdgvcULw0QTeS89b6v1ycypue
NX7opFbxXvve/OiNxJWK3n+zhNNEpV96Lx5g2o1G9mlkemn+VCXknE4jw9PAQ35rWVO9mez1S8QH
lofWZIkdAWkcyAH/vYQbzLbMfzRKfMy65l2DoBq+We0AhLRPL4UuHCLIKdle3hhl5Ge4N7kUKzts
dFWc22WpD3nfEzrZVsmtYRaHTsQi0hyv2bLgqK+IIyQARz/tH6A6+ofFc+U3bQkOMCanp6FF0AzK
nIDIYBHZTdV1P6TwPzmdi51EsrjhDtc/Z7lxdivyVZtAzRsi67NtzJ7+NudyvUEoTnabYzJ+IXjS
RGmBjQ5Ag7zJjRY+btfON6VNtvRYG9PGS+VnkcBAIc4gM+6bZjAeOSBbBGO9BVDe7caU2NUqQVdR
2oLi1WrVm2RzeE4IvdiRqZu96KOy5qj2Cx9Rgz1bj2VqGR8MVNwPILPgzZeVyR6npGAyNgdJzXtu
wp9A6+TTHpfDyesXLcx6fVNZ5l3MRcXie1sp8lJSVvUlnUeUkmKXpFgSDOaSZ4VGYifKIXmErcss
65ZGKyqr4UUFy9E1xx+ssdy9bHCJlezLtmRIrOIUgLTL5AQhRXLPp3ZychuKMzfZTVHXeTjZ/feh
s7vIhOoDkji2IL/WcahiuUZB14fU/orCbgjG843iYCE0CFOVD6eKzJdYWZc8zS1kQrDmisb1z1la
IiPs2DcJErfnJd0VAzRTNOD2Xjc++iKlYUIPAW4rfmbqVIYFqduxZlsbN21wdzoq9OHwISuYq60n
8VxUPHelmtqQxZoR1VrVRJk9kLk5SY6TzAkRUA5hK4E8LiL9PgYwmGjwdwS7aICtm+epruot6B+U
QVl5Bso1b/D4I6KbaA3RtoFhTryGmljUx7q2rwHikr2bWJ9F1T+jqnHuNJdUjJJ7itk5MxHzzBZU
020ae4Z+2jjqVlPk1KhFM19YusE0LcryeeoAuDLLpNTN4BFzA8KxVaMNSVmohmZeM1kjRqaUDYoo
dFpRVsfZD6GMDekS0OURb24J+AtnHauoO/nxs2cUNzLt7Yuygy7qZfWL5rcNRdpujXypo1QTJh/p
gNSxTbFo9OWzsnPAonaf7KRdBVsbXxtNt08ykJYXtyLhcJlHUe4C3ZEX148/9FbhOIQYtifZc3qQ
M1LIoHWNCHcEXY/RBHd6k1+qae4vpl5HZQ2DeWnVOjPR5wtZ1ScNAAgcgtqKvGFAGhJ44w1b3x81
943C0N5Mf3lPGnfvGW1/wzV35s0QKGuWY+yLYYsqbV+kvzRfQrpwW/3GaPPmIIW6B0l2JmOb45F0
iQjtgL5rGq63iOmsvdUNe7N2DKZV+Rl+JgU010+68J8dL8UmkS3vk9d/xn1ClKvg+amth7679er4
uR4WOP9TlXzXNAIeexLSu2xZosTybpbAf/WbeqOCoN4LimNIckBziWMzBzSqk0RvNw85ZuNIa3M9
6nq47aHwE/0iYoKLk0W77105+KEgF52SkMe8XCqBRBTTpDvcku1R8QR/n1X60xIjz0g8zmFqmS0B
kHaBhzJ1yreizjHrZplRAqQwccJNtVXQ4NXK25ipqsCpmsQHa5MEUuCKfZ5piYoaU+lpVAuWvuZo
INNj+Mklp5HPY+8XDDrT4UhXLY4B9Pu9HVT2riHy+zzqvbsjlexpVpjLsVLdBX6f31eZZvxysrY/
L2nmnhqLADizmNc4znjekcminuxqxkqlzHfu8PktMaRc8BP9blmSISKvM7mxmNhFPQr2W0bG9lYu
OMqtekKxA6F5N3i2tuvYamxwBNAAVGi+iN/eJOgGSZNmX5e13UqvnTXWW1AmbWBCbpNbWzMt4jsX
mTAGjfnDLxnDl6aHaLfgHaOpJfQFH6LK5yMObWSL43BBfkdb0aYIUUXwPdB1gvJ8D91nmSLKbZyK
Nkgtm1Hw49tgZJzIJQsqMY9rOe4whGCtBW7PDiXfpbVeHOkbj15ZodQuymG3Gjy2nOYQtkun2hYi
2+cYr7lM+dc+1+w9V2EmLtaUvw0igJcc27q4pVRThUZuC5e5Dc74z/ywwR2/MYn8Ic2gjDRG3mFt
mPLszWRvu2guD60AL64UsQEoCfVzJ2R3amvrl1z6WxhHJJlwtzCX7GJwum9JBCrvc8XHWK/E60CY
W6MoxkhDVRa6ZPhuBHru82jn95mJuFHU5W3iei+1H7R7+muJY5PHv52mXWXoe9CIRHl2DncZvN+7
XrBR0BBuInzsfi51g5Kwu52Z34dqjplwW2iCIYOzz6iiUiPHfOzImo0LxjVWG6Et5lR29PiA5wo9
uGgcmpb5NPJNjfrVcKb3HWckRn2ITMPH4OUfmeeAO5H3E8rrY9bO5oYr5Jkj+gXzVLUjE2jLVYsn
mSl/1A3tGPJt0C8w2My9P42MURaKLjNfVNvGdc61o5/322VwRSSlUQVcdJbqm7Q1xibjOPo7kxkz
Z+fVJGGJV0QMrPhKd/DHKFFcBztNx0TThD0TgY0RZ+Mphb4EwLv6qLo6eMgTjQ/Sd6DayXSD4nB5
RlFxD4Oqw1domBur1XdQpQiJBpOO8at2tI1beHPIBSd/KuP0p2/IS7uYZ+G775ZhMhV/7wyC5Dv/
lxpmoPZ+Nm9BBxGtVAYbmVeRkTf5ZpHDr6aDmVBo4nsqtXQr19F/22iRMAHbF4vPrGQhWmxTVcwC
UmOhbcljrI75vUo5oKO2V+6EzNf27sqeBHqNnp643QSU1jhwKR/krPhLVHIE78TQ6o3cVu1UqU3a
eez13XNTGmelOxGJcOxuJlH0O6Y4KHCKHuL7YniSCj3L/oaNMhDb1iyCEIsEseeFZAHCqdaF7A6V
Q7QRsShoeunIuyfNdst2V/qoPXdKE6OKLFZshL1xR5g5Psw+2+V2YEgzrHiPnLhh5tBrs37TY4H5
aAVhYt1NbAQtE4vwawj9Pz2v/39qEs/y/F9P4lvm4yr7x0H81z/6+yBeD1B+IXRk0o6C4q9TeOc3
8l6xJK2Wo78ZlfTfXO6C7joXRxLJM/23+bvl/oZE0tQx7Rs6uCY8+38yJv0ro5LzZ6Mxa3NgOAiY
6MbRRDp/1tYpQJqylwmuCEenyyyKxB26kPQH8vca1x7e9KT0MDE49TWDqnhZJ+ah9DEDRFXQ51vD
W8PbyAiat8qcxF3qd7kIXQ2VduCp/RRk1qmreoMxY9bIjeOjzQnrOLApAphPdkSOpeehGOsbPWFV
ENZmcdOkStx7teXvSz1I97EXe2QDFvTuhNZDPu+Fu1+yVB1ZDbi3fbsetTBiNRTl7L6h4frm2Zvq
8bso3VlsJiTzkZX2AzEba+dQ1fEV7IE94hMZp2O/Jlwt9TtjAciwwiISl/FqRwPJVnlkFbAT8eTe
jfHks492A3AMJH/rR+699kHA5v8cayV/eU0W3Fl55R/ruFQ/k8mMZZSWjXGfpU1PJoClrnZrj6dc
eDoLaJHPZWTl5s9cr7mhOngYmDZa3KOwhlwSvUrOxFlon5ULajU0mpoV6iKr45zJ1yGY5DUfV7tE
6g/PadN1j0HQTVwxtEV9rD6UV04FETABpuck9i/vGWUFSKD8CpEaUoPQ1DMFDCYQHp27od4lO/Y+
Mu3xGx5dqkpfFR8FwY+HYMk6Imiy7HPR++Im09WdtiTOSaiuOSmY6OcmLvAOOx5hRJPfmhsyLbkt
6HNvKj7PRLxy62WgxrvU89PwmO/M1irOs0FKm6pLlxc6BRRZI+5vjMzRiB7U0/0k4+IJhWn6TXRZ
CvmmagD0zlNdb2GmkT+FxoyoFLQ1AD4znj1G1nZ/29twd4Ga6ZYgKgyHWLqscu2EIX00tkS9F2Rx
sukMpvFXxoCQ1nFaRVhVwSK7ydPqPsNPE9pcB24SVS8bZyHvxVR+eduQBnRjsoKaI1GOzKWYq1Gn
nLpJXmJvMd0w6BP7Q06jDYkYq8LeK7gJ1dhEVgc7O2+aPvowvzIuuAmChySeCU0Ar9yk5Eek87Bx
lUPCQTB8Vp4ljrpifEQMkJZuhrafuaun03lZmPayK+6q56DO41etJAz9xGRe5luSGIwfzAHbPkz1
sb8Oy0gTNMzCeOuCIqapq2T/YPSV/K6QR0QkGxrvgmEPLevczdcWd4J/sGnO21D5AWwuc27DoLQm
cnO7NM3CPjasF2vQ07PEo/ZBww8UxmCVnEQkVQFxTCr/e+7p3i1JO7N+RGYRPC1MKZndsWxiJ8as
siCYo613flqV74gBgmdG/x+aPjYbt1HWrdG780+nUay4WsOoq23sx9VrntBiEJqRU1mZiam3zuOK
F7K3agCv192GwRY7tw5E5k1qTtxZO/WA+C+wATzzfaYKA/2CX7P1UapEtMwujsGVnGg32cZmAr5d
ANCdSNjzTo7e4gOzUsaaisn2vu57TjRGIWQ4BODfhsLOruZA2Eed6WLaaEEX21vbU/qbCWeDbRiH
6WDqzRwFVZnle69rimMyW/LCMGzNlKyt7qr8zOaN9cr8m8hySVyWwaSbwyzuj3EyMXb2tbH5Pnhk
WrKJAudAhl4So6ub2zu7Vdpn7XgM+1sjH+5nOWscLksahLWWB4odiD2A/Evld3ecx5+ySMe32a6M
W6vN4nLbjcQBrllUBB0FsSXv0jmIxcY3GyKQ0hFSlKmNZmTozWMi2mYD4Glk0KvATmBB2biVd7IJ
gtwMUF0egrQtNkOSxcdccGzWhi33k14+JZXT71s1IjlCrcjsQuEywck0VywtBneLfHz5seAyKreD
4UpIKX3JvDod8BDqfn436UYx9GfQvi5cMQhqTfZt0RLuN7NnV0J/9WfBnJtBjWV03WvPJji/i6eY
hKUgd++MHJfXYhTq6paFfnUNL7nnWJzQj4vlOCTjC31qdZUoDq+90cZmqGd5/DLi9Hi1UMswKPIq
OlpUSC9+5a43AdAHV/Lcqnu9n8p7fLRy1yalE3WZsBF4sUzhjs0IlP0axzbVLprKObv0ZtAzjCRA
g4a3LC85IZKvvSsgI7UFl7A1aZivesDQyVCte4OJ0L1jPWfeEisXc4tbuvjR9pV7JLtnJIaFoUGY
DnTH1qLNd5WW9MQuarJGnjXHl6Bumkc2Tt4x4YV/MphfjgQrOnt8yWQUx3L5LoCEAFGUJM0nRjHT
LhI/xKoChnwH81Ew/xk2fWYsZ7NbyN3JQC6WY34vix7jlzStu7hmccshK+LruMTr1sJkqVInJO4t
tsd3ra/vE7x9+/X9fCLYxrgJ8oXIBlvz9rlU2p0Qw8CF1hxZrQdL+iPusEBmE7ezUMkJO7Sjd/Np
Ziv1YAo17oM5CI6D0bcvKq7L+8FwhgPfJ3dmKVwTrNZ47BHaMcEGBvZf37C8T7nNWoF8GMlpZoWa
W+QtAj7Ypk5G4KQs7DtumvHt4gXTsaUwIubB/V8F/qdeZ8Gn0VomAUME8rxmjPS+62Msjm2tNXs0
p5rPIoOjhscvpUjbheVEa7zCLhtycc8mZPzeeN64EWCt3sw6I6JwJruwS9dDEy+Ime0XgNjLVinT
rB+rOXjF+Yn7biCmq8FlJXsj0ivfTFksjMFbpsXiEQFmK+9d1WbtwfLwrYbklQkHi6kh9RvTZZ7D
8NiodIk9N82adV/PO1+by/yoZLKBCUxeqZW63q4JXC9KsQrGUZ6MD4thsgPtFHFMh77T0lensZzs
3XT5ikeYPHVnq0Y224zl3fUacmsY0zSw50xEpvcnHllTsRUaKqzQ7zJe3mh7p2+sbavPfJjMlwBN
wJMhExICZfYkK2/elpYsj55sgXz2A3K5erq6xfLGAUhGbPqed+6b14/9B24nOghbodNonf7Ng6N3
cD2/uJdGsSViSLvhw0GOpsh8qxAF/rIWZ6jCrpFroijTeNxxfVYcVD13D5YzijlilM9oqlEsJZ58
t1fbEr7gQ7rQ77B/Gp1S+79zL/rfp2NCSQ2E4b/mPVx+fiiSa/9RxvT7P/rL7SlwfrMMvA9/hDr8
5QIFm/U3kDErlRhV0qpH+tstyuKqhEbcd7lh4ZlYPRV/VTHp/86tiQ35n0RLvu3o8JAtjvfVUWP/
kzS81zhlCYi0AOgMKdcGvsBMTCxb5nN1g/XanpsSfQfnc/p1VIv11HbW87tdT/Ki9DnUK/77t2o9
6c31zJ++jv9urQTmV1EwLcWadMn6V3utGeqrfAxrJQk6P7uYa3URX4UG3a+5bbB2ROyIrQsp7k6E
nFLu9MEvKXl6dd+tlSv4KmLABsQLmpjxtDoIydFc650uR+z3eqqhmkVfeC0gAV+Jv3kho3c5tnj/
GWNTP13pLFfKsrquftqdtdbZJe6mrTZaHVFZwcLw1RKIqIxpS4wbUpBMyOKpZ8X87nklqS9tTdKZ
vaCvlLJp7zH2pN9kKfo50muYw1YymLsg9YxHz5Hp1Zlcgsp0mwxDTa+mG5WM5o0v2+eS+0kSGrgX
WXIOCK51q1meqq4XkW5MH4I0R3agg2Bfrg3ZjcwqrqaEUbbfwT6Qhyf5DJ8LkZcXfxzSndaly0kR
pU07AX5oUwy+t8o52WPlsZbdE4icH7QiuWNMmu/QhAmkTw5DJ4xXB32sx5sprfqbSjMy9vAl/usO
Z/njvFZcQR9MBIkw73z2O4fZlNWtJ/Xxxm6r+QAJzHrPbas+sansHuGBkTWN00FsK7NhHa5SBFNl
w+0GKai+k4anbXCBVg9ap1uP3Wx3b8j4il+z2epP5tBnG/KSq7uydbSLlXk4c2k2eK/oRuVUBfcY
3MpXS2XDziCQc1N1pr4dK4EHQSdwWYM1ySWibe+MrkGOPXVTFFgDOMecBwcugxYEnyh3uDpJZXAs
a4sFUQDundjabpU+VO1Aur0byA5TW0nSil4zI8YCw17Lfh/MwT9/2SFRIDYXWxlJ1FcERGvmAlCg
TabdZGjBtB0gBN80IE3hsTb+QR/c4mdeJfm9TuwRz1Sy3Aknb5owd2LtkyWHX4Zx0hpBKEcXNQUT
l/5cZa4Hr4YM1EwQoAQYIN+sitZX9gv6NzXl040bCH2b2m1/m3kNV7+6kcOD0pLlTRYNTDOtaKZz
42TJU2AL586XNneCJtkPg8dlEcs3F4HU3ArH6mb0e+DTeCYrj3uhRPibQl3YuC20IRqTSmPo4Lvx
kc1NfARiqo7OnLdFiIyHTUc8SbI4XBWXLxwjzf1cFcuhSqS+5WbjbDOt0W+JY6rGfT80lEzuNVuF
EvCuTMrkTqW2uXGla30vuEKi2WdV962NUy8JJ7+fH+kSrCRqqoJIgNxIDw45Qqd+objDffPGOBo0
4tJ3VTPrgAjw9bHbrkR50djxvHhGJRsmk3XcRLaUMSdJRtrmUtY/CkPX/bB3y+nWWjwCPDPhEIyY
k93ykgxtG2xzvJ0xY1gCcqzMyOk680qau4kmAr2J30wPZqEb31QbV33EsFk1cle4NROpW4IW/Cnj
g0vKHo+5GpqkXHOTZ5dpzKT3rf4YMwWf3efEK5vuSvZiPyDNwmZZnZbGRM8XdT5qqGZjD6YYH1U+
Jf6nnYg4rVBeFvroPJeIliFu+Q3ryh0xFF3+Y/aaxhB7BFRKUbgobv/T89H/dX0AFdxASPxf9wGP
RMmm/7F5F3+SNP/lH/61F3B/szHSuQRtWagF3NWo+8deAJcd8qW/TFr/3gw4v+F+NXEHrjPTrzbh
r72AiUTaAZSPsYyRKx7qf6s3sFbB8h8MSeTqYFLWdca3RmDSJaxe1T94ggK9rbo4ltrZ5sL7gA0Y
EAqN67EsFrH18EuQBD6YV2K8hr1f28vWGObguFJANgkKUIS5bnnGv1FGhuz8A601m8wYlT/xVUYe
eZywXM6Sa9JYB1uwNI1tVUS2Xb2MvbgfTVQPXMFRrAkzZaucs5Zs7YAhTlWErS10dkN2YT52FSc3
Ar11zJGUFxuy/hO6kzREOmxv5l4VP3StD2ffemYf8stqiNPFyfAwB3N3zWt3XehweWYH3ZfXLF96
NH6+PM9eyvx4oprvB7SLCBWp2PPoescy4ZKf50t3slUcsPLpIaWIenE3CW8ntiMsYqyBGebCzmjK
0JuklSIJoD4uutK3eoOKqMHCcKMr/1AU5rXRGRhbXWDclgLUVjyVm3wK+jDxO47jVDBPkX686/Sm
jHhg6i2DN+x5ieAQHglYFQRY82GV56VD3Oo5mncqc1ZQMRPcsLcRX08mUxjykjGARU47JeBClkfp
VHIzzulLMBvm81g67pHwguGtMpCgpK0MNvps1fGFARZ1tajTTAUR6ydDPw9VbC2PlbKE6LfZWPva
pygmICphXfTasusxe6mwr+oW3JFD7haam052DLXwiUmr8pkwBDraY59lKjvGQY77kvX5AVQT7RnU
FwqjwbZqKqvuqnkd26M508q0QzHSWgOi5sy58YRi4myg6NpqYkGh0Q3wv8O8t8VFQ3PZaBsN+WiC
96tRi1K3uItxEZFRThwuq1l+UOsFUYOibqlOXlx1rnqrzdi5qqUZIbkERBcDOg9xk6h8fIg7Ue4r
iaorubO8BY3bDveWjucRWa/qrsHvBzireE5zbfg62qn9BQe9+fuxT+reVxUQvxeFEUsjJUJ+1Qtj
LR31WkTGr3oyf9UW86vOiLXkACel+mj9WomytSgRAr4G937Vqm4tW+KrglWB/IHzafWvSTO+4o+m
Eeckoe7loklf4t+rYT6jzSnXIrkMozvsiq/a2cu0ZhAKpeU0r8UVFAO0x8Wj4o5r8VVfdZiZEhfi
r+rsrIVariUbjVZyJ9cy7q4FvVtLu/tV5fkP6LcLyOltuTYB09oOkAfV3Lutql5YAtAteF+dg/3V
RRC2oI7m2lpguYqPuD7pN5yv3iNZ2xAD/R4uvrU56b76lPyrZzHW9iVdG5l+bWnk2tx4dDkgQZ27
IB+Sp/irBfrqhuTaGP3/gvjlx/nvQIira/VfFcTLz/E/Du9l03JE/PyH3eLv//IvFdH7WhdSEm39
j6tFz/zNcTzTBF2zkiZw+vyxGuLW5rkP4KBwrbaAsf69HEJC5K/jGvpKsbL+nXL4J7f2mhfMD8KC
TmwQXN0/Q7+REUwJU88Fag2iCWsh5MB0k5c/vCn3v9fWPzILueL/seL+/ktwHUPt4HX+E/2hqwet
gQuwHHqB+XHy2gWA1OBFDSmN23/9q5hb/NOvgonPKWfDTP4n5kNd0qLnibUQ6ZEBmCoycSZTMMZM
QMUqMKMfiNjFPrs4dojYuP5vfv0/vZ1IJwB4MJ80DD60Pzu5EXP7zuia8pBX45NZet/8rN3861fI
Q/GPr3D9FQ4ZWfAmuGj+mQ2slDb3emzIg2OMTwDjXtrAICQI7gzZ2ZKn9G/93f/hkwPN8M+/zjZx
ktl4xr+w4fz5H7olK5E2Zqu2PdijJU+JKI0mqgOtPAmH20mBRcKOR8naKJGdTtA74rBQMitmzStU
qTaMErLQMxNufSxrxBHtaACLsB4CpDtsswFit0FehaY0IFHBmg0VUxYOydL6MPNxzwWl+1XZK9NR
dbr5ghIJb+wc9OWGuaV1wZEWbDCpWZten6eXOY/VTeYmYxJiPiCR2yY75sl1oNVms1fTZSnrIU5q
587pKnF1HcRcg432E1BbcumHygi5v8TsAHvSEdhI7YZ+WY7csG4RSg3kVJS/bK+41pn9iQT/oWM/
Go22X54affqeDCytgzJ3t5rDzyzxum1Es8i9kE4WqcogIDwff6o0kEcvT++aGStdFtRACsyy3zKi
cC8Tqugo0Nz4ZCbWi6cZ8SlPsy6SLa6NbBiwL2vB04RZejMbeX5ZApk8dS7+pN5nrhIMCfQ2dlDT
GA+k3RbxNof3dVu1TtSnKJZiyDxnJ9FdsR0xV8zrXS0JiK7PMbdkUAqf5H+ydybrcRtZt30i+EMg
0E4BZMtGbJKkqAk+2rTQ9wh0T/8vUHZdWeWyr+celMpVVpKZSETgxDl7r+0AgUno1wWGi7W4+Yh9
rxoRiX01d539ZFaO9pLkY/eJipef42Ldv5ALNl4VXaqOugS7nHYdTnKIPclVVLaUKAXdaaNqiR6Z
mAFw/mNSUddLkE2VYAKqjP2YFvqzWecuMu92RuiUGupVpTrWpEBfxDUYwviSJu26q9Ja+JFdQj5r
oUz7U7ohyLQuuo6ipLtv1qq7K7v+OsI490r443Ax0T0ftxrvRszSJjyZe4EOebpXQzUfqlK+Jnln
oY9L0admjpyPZp969zqT+YMmm+5mjbX6ThVLaDDovYlnmhBMZwt9300gPym3abykdkO7a7bSQ+eZ
6iqNptyH0mXfgf7bR5Gs6X8MpMp4Iv6SqTxhImO9kD10NsuoRWw13TdLTuhXTyNtzLSDiaj6aujp
W6bJCJ5FMQOA3ygOhmQ2wuCvOC6IVk9W01PYQ0bGXx1b9adygRrGHQ16BN5jrN/LqF3eeg0dAxBI
2p9xpl0NsW0c5Oyh+SroIyA1xO2cR60TtnrLb6P6RoPlaZpEwQ6lJmoSACKaG726+UBUiBtDtY+i
6WrOMk49tZoC29OSA72liLVPd56gc7qIkaJVZuWeL+1iOq9GIq63Ccc+ygCJEr6U0UhLq9B2kjek
HS+eQKkSD4P+QKaXfjRG+QXf4TV5zfFjXutM3xyuNBLa82DWKhijvPOxNg5hNI05okkQi/aa3Wh9
ixYWhUKInf8d6iEmPVhbi+9G8XiKmMbBBNfvkQ7vByZiR8KEwRYybj+sOT+W1ID2Cee4w7SK/Jaw
abt6r4xavvUj9MI6aexdP+/bJpYXy2q8oBJ5V50qZ+zvlNZIZjK6e0rLSSI1T+i9fVRwCZpBhHfN
ehsV+YCZPWqWp1q4xTUb0noSMC8ZblmvXc14n6Oy5k8MzgPIcug99OQ6dqGU8wBAq6NziItjSBFF
KarbvnRPxWg85WWCMDwS6AjcjmOcqzGrRpET5Zp7E0c5mSxexkix3znKMN+UbjY/Z0qOnxr6155v
Faw9tgT7U7rQdwOdVJzs0iD43qUeJyJo+lzTOvaphjaSnpctS1DYLCDkx3P21aNv9yKA5VwQW5j3
8CPsEHykCERRZr1PMKpEcJEMOxtwAevEnt/LcmHISBwjl7kK8s7Jnq2EPJvFS5Gnt12x2Y1nMwBM
ZO0KFxCQWh3zupCcD5kmriM9VFc7ovK2kUc6vzhCMtUdPb73NrIytJOuQ/bVLA7QBkoUUOaCEnwB
75GbKE1tLyG5uK6v6llZRwtpwic7Jd8w0eL4i7tV9elyKJaEyz8m85Ng5woN03NpRS/FRcIBDSxd
NCBkhtx4NFt7Z4PveBmW3Pwyj3Zya3f2+tJXMgQijCc2a7ruVolmwD5BttKANoIWAZpY7MhayMPz
a5X3hh+1Xb6346g/8XycTmMm2TPamVTCK3SVi1GERtGrb3XFv12vvy3yAeF8VxX9l4t/K/LPv3b9
r8sfK/yPl/1e4cufPJ0WFZINwiK+Tbl+63k5FlU+G5qDJlBHKUhx/DvuXPwkUTTgwtvKOUduU6rf
inzp/kR+EUMz/o0OSonR2D9QEXIy+KGK84jWdSyo6yQeOXT5fjDxGy0sZ4kM9uiNWioBn0pa/8Bu
8is42dbVrHft+BhbfXSu9TRRpxE4+X3SaGN5yJG/5gi6RxxcsABgYUdKYrXsgCg3cxzE2GDTe1xi
Onps4uhjr2WLQSJwG+cikSEyvOgyG5X1mWX/VqDNivlRFwLMrMeB9tJ933kXFFpI1YnENf3aLqJ+
A9eicKJ+ulGTSe4RC1k89Bg5GBkP+mcPWC4sYy01Hqpqys99h+65Lt0UBT4vpJ2l7TAOzrflXKN6
1oR4iFbCUkrMLV97o8M/09RyJnmlXLsTDGNEOqR4NW9yxEG3TgSIrybJrR8X6oNPt6V88P2ncFl6
Xj0RTniy8m51D9TrJGJmpTqtiOMDWAG8sLcmhHYGvfrMt0uv9F7GbG3joCpc/bNTDuuN3YxeYBke
4AI0NkfUPt1p1MiIXYVLJAz+wWXfp4MHHBrRDWMKr8NflKYG5U7PAafLXGpgo4m1V6Wk9Yius8Sc
o6S4JrXR0w+TJYrnJS9wMIyxEp+7ciui81nnpxVlMn9ym0L7uiaTF8yyjc55MifvGpvlbUM35/Dx
/vrtXXFnk6qe8efJQFtf+VVJYp1jo7zZ652qDqh6RixozUr9yEVGtjTs4LYTQeIMqcFjC8FY4qsh
z6drKDBJApNZ5OuRqUsn94kFAvsg163cyCKMUpVW5+fVrE9jZ/KUxI7OVpnGxucGr7+9F83i4iDL
Tc6TQ8m9gIXxnNE9CvntmPf63kpRekFlACxePHew0R8Ten2f2ybpr116qJcM2NseX0tnhxSi8owI
Kr6KWqSMhJ+BV4HMfsWRNQ1cO8OWgNQm5cjCh8xW5m/WahAXAnXT9HOrxSIJB8De7MjoIqppObhm
7x3of8qvk40vOoi6sqyh+8L9pJWKPGjvZfqQ3OZFzc/yVNHs7RrfnBGYcuQbBgpeO9luQNX1EJXe
cpOuUx5IHiHhOujRTWkTVkBkweQeCGMV+65I5HNB9X8oXfg9iD824948pKVL8pnePw61+dkaChxO
lv5SufOSBVtnMqGjuGoQkGEkl3G0DkEvbMLf3RXLvWM0gdLz6hxHrol/gnBDrDNFfdfba3nfa9Le
T8tS3lmpKc4qrjwfG0i8K9HGb8bKYWd45nomNzqnLWlMMpgKSz7NNPh9q1wwK4L0Z6GiafVNsLJB
ZcDBBMcU5ftqGKHS1wNmOD3KYE9NvYadUPY3CIWQnLkyv2JQZ90NVoxlln72xhXqdRrLENcz39U8
SgRoQiqcZt35PCIwvYmEiH9ZuiyD1AIRf+GrXxsvDyv4YWTeiRpD6pKBhgp0XvO2EmRALZR1tJfj
umwfWw+vGXJjkexUMgJ70PJqfZqtRWdY1yYELTYd2M6mBvJuLQejdXRjJxetBhERN7SEK0j/jT8W
NO8NyMh4PCscYhMbhfBVMenhaNvL1UTUyX0CqvvF4/NLwEPrnJ2asnb60F7j7qwioAraYm/IoolK
3C83jpKvt0oFgD5qOF9V0wVdYSQX24l1hv0FFgujK7OrEen3Qg5Aivg3M3D/SmKOg84b50Oix1Uw
LeUbJK1216WLgUy6dW7rRWmXPMdF5CsjWffeNGeY6apiQLdEgNodRDAkRRUnxnpiM0eLxK7U2yp6
/dhZ2nyIvnpzmZ+LmhVKToOgtb2tosZm05rR/j13E1lGtobMGkUmfjTfWXjCdLVdHehxdycmoobJ
cpiMB/Rk/KIh6eYQYgvvpBhJUZ90IP1+MmledctYdLnFA1gvYV2Th4ROer3pQNN9Cxv7t1z6+3Jp
C6f7TxPpT8ulm1/n9Jf6h3Jpe9lv5RJsyM0lYVuSXGly6L6jHgndQy5E/AsyDjKAMWP8p16SzqYX
QjLn0sz6oV6ilGIaj8QIBjeQIhi6/6Besn5o4+lb/iFNRMskOpSupflDudRmZrFOcZVdd/h0ljez
NuloVCaDt52ewFfhMDtx7l8Ida37UjvVRoL1NqBtWx3B/+kHBHbLeyfRfAaa3ljBzLB9vZor2/mV
Q40TInqwu7Ul7D6G+sITppgW81FDguEqeMPKMJr+vXAqFBH6AtbG2hGRkCUYXlNtcO7HWo1wlhp7
AMLyKCtYPYE9Qdx4hf9VpMt2It4galgBq/KcIlIOZtfhRD6W1kIgQLxa+ZxcoxtsG/cxMZx1I9tg
Z2HPEpjP6N5lVVP2l96lgt25SF8K/SVtnWFVh6oZXYafvV4ChUrhKqLL1ttfEq3v9k7bLHeWUVRM
LZcp46Wkfq9fCGdy0puPu+rfBfi3CxBn0V8uwLpjSh+8dXWRVn/U7PFl8dLfzyzWT+Y2VsfRu00h
Plbab2cW12Q5beMKHZgXkAjJCP+3Qwv+Jqo/AR7bRfzGy1ifvx9a5E/8VRKcYJJx7PWgbf6DRUi3
/sdDiwDnj4TPsg2XHcP5Ad7p5Eyp0bpmR9B14IKFlydQCfsYJKAxdgiQhrHRa8hXTgJfAP+jeaKK
8HDhruz6gTExW99TdZX5rrbquEUbVgt4Gw15N7qvJ7J/L1PLvUYoaJ6aGro3LQrzNJgKhdli0NaD
IyA5CwnaNlNWgEplGEyTGiP2NQFD9WvVu81ro69A/YDtEAFCL9O9Fgm9FVx94pbCH+ZIXcW27ava
cJuDUThJt+tzbXvJBy8yR7R1Z7SD90zpzi+eKBYQuPbu/EDknvdcpmJ+6HConqJ8Q4PKZnagOBpV
Xp9rIlRcLKNO/967OvlJVQn98CMUSlQfASgmUUQLoAgF9oeuiN8AXoIZacRgboUUl20ffHM2pmRd
a+oox0Q+rZM731USFGovdWinOBnFbWxsuVaNQwTQt5AZJMLwSx0vg7GFprB/zzrCstklt+AUwkVf
aTrqoz/Ljr9mzhC/y9qy3paY19Gb5A0wwODdTpAr7nQZG5csSmimK2kjRLO9mU9tbnheN5eQUzOd
z06mKGkvatLlrW0CUKhIQLiVOa4fF/4lTuoUEEeUjidZQw8lXIrXfIuDwCtNVkE5lzAXua+5wt++
0EKPgavii/CeDbV9w3Si5zu+0r7/bMPonq+nJgJRO8MCLUO9xzp9r5UGH6HGm4sWfUz40+0LEJ8g
MKEpYwfiPX4jcbKpa1ZA1HGcHtqhRAzfbC26F0pfcJJFuVKtj9P6NYm2uBx9rLznpZgehrW39guZ
wmYASw40G6XOvTOaHDggTWhBI0rjUpG6/gqBYLtrS270HIBGtF+amJ+0RgZ/OgmqSN4JNxEyRCK2
aDIxixlG7gaj6/lmPTmQv/WRQwXQWZk3xJRsKRJxz82nGUAoo5FHmw+PdHh3IBPFO30LxUqmlkWI
Ip8vGFUJHFfXi7fHWNZUy7nCxp0GuUfRuBu5RW2OBhXJYajZTWLVI3nSshGC7AKOlZHDqmDplnj4
oPVA3QEVxMDVj4SC2jpvHr9q1fjuxu0+WaDOvqrtK3IlFunSUs2rK3p+2NDq6YEEC+J0TEjyyzh6
u8YUzStO9Oj54xZONSKYlryn3bctdmR9zWtkEyE2ScUlmYx4ufsgZCM0h4WcIC3dwyz3nik9uHAD
5E0ZNIXLDaMcUpAKdPTcAduS4AyXHnDVcfFA9PBl62wcPBvb1w+idGs1wDltZYuLieHrWcv0ET5a
nwH7zNq4xDXlsDjtGt7zytAF6IQ1jYw1Sj6ODgf2W5rXpodlPejok3xNkvzW5+CIYJ+Y4jIaA58a
Cq7hM8+TJL7U3vVUF9712oIz8Qlj5ZaoQXzBodHcDmiF0yfyLvsgDWsExrOfkr8V6kCyj9BXdeDX
5MpZ7ayFckq0Ds5DzueVM/re/dovKtl5LAoGxh39AH+V7FilUU/Jw9LPzQ2Wxk3O0XK0X1jLucf2
7FY5IVClKPg5GKTNE/4ScAsDW4bOTPMyWI3iCoKse2i40TFBJnn7mutRe/SYihywuBkXB8TprU3F
FGFQy7r1sQerbR5nxRYpVz7wnOfcUZqHIyUsQCJdIh0D/Dmu0eDsZFUSMYbKFASCvqYHZRpAYccJ
7neRbij2lOCHHWHU3FOcfLnBgUXztXY94XA6nhDQFZUQl1bBrc2sZVpC5pwSiaZec7+IfiC2ZEtH
mWiJ2X5pt+I23UK4ypIRAVOWZrOPeNudA0OlXs5m1vHjDbq978jLiJxILO5uj18ht3sPqozIrsxG
dUclNsH4xz1voiIDrzHwmWGobPe/wpB8q9IRsDa9Mz6nvj1GxgmN2v3YUu7t9bRnf+v6wQ1pGGz3
o7dAzG1a13vW5BYv8W1Ly3qRliFcdW4lcjg7dcrcHhdLy3CzQ8OuiTvTZnUVRc4wQU1cXknA1seK
K0fXfJ4qCMTB3Fpdsv/YWYlxEfZhStz2WaSANJ6nmIimF+sjWq4wt11KjJD9zWSw3rwt+CVTbXkv
EmWQtVW946r0Tl3TbA+DVt8ezlHMDuwVK0EKq8VGhsSVFezSgxL+nCSVSHDyJMuR7UeWUyhiWASJ
H0PfEUTwrd5VWfVDAiwtmkmIY9JX3K8Z6mU9pV0WAOKJn3mUwgIfaFacoZ+yanI1s9eyJoEHsMXU
cOMN1OWy7ez3uiqf61h0Zy+alT6hyptm6hDZXQwTw7G3PYjA1BUXBNoNNDPl3iHy0SPW7ij3XUs/
oRViuLV0ou5I/4whd8bJU+q0VuEDIv/SopjTjLq97nGxB93gBLqTsQZ8VYpSm47DsJz6RDXA7jyG
M1s+YR1gOX7BT7pvmA/uNbqXdw2Ktax0HiIDA8XLYheNtsW0lYiRMHKW7KoZK5xE4nCVujLCBmle
iN14hUvY024B3mhmAV7n8igwCiV+ajYoGc1c7vPKGEEjpOse490E3SnJgW850zJCRGR2uF9suD1H
1HFpF8QwGWYuf+JdDdJcP7nz4Jz7zOMxl84YEGatobMxiSckmvWNptvVp3TN3bNjRNy9gqg+O3Hr
XexmDb2MZia1InfUFegjBNgkY0q/16z5rTDr7Glxyic4z21xXbS9ed/mkBa1oZ/cwFw7b++Ocvza
L533c+LSSOonD04VN9muBTwXunSKgMplGAjGdgyXeYBR5jYzeFITAZ2CRH7jdkm23HC97PdscKv9
qjBqLEWqE185PXkbUDZP8do70fRljGYyEDPn57idl4fEWqpQgJ3ay9yhnz5Y3X2vc1mhj9o7ay7n
XzJlXDSMub5A8H/jpsl6X66LFdSOKvfktZmHyBsZ0nupuYvb/tJ6CklDZ1MZ7fqyrW/gdLNFgXcK
4Nc2u5i64azKTpyRJWpHy6v7U+4p87qWcHG5aBX9wJbOjE07dkafudPAofkZOxYimjK/w0GDwMA9
a2suPvEQwNpnAjYB1W6fCgy49zG0JVnJ6mhwIjwg7aZmXQBzzjEMSwuh3sb51F57lDohAzHvZs2s
e5VC30Scpz/kNLava5Lpn4zZ0K6JYC7w3LsOr5uoXX8exoKZdWQYTIDnqgUvNNSfM8p3yjsFxID7
28gvRhe5Rxh72q2OAzrgyeuEuWvulQM1i8TC8gS8z3nT8vLzrG09SgGhjtZY1+814LLwjJ1Jh+Q3
qIMe5UlguTnz/iKNwxUtCejaZDiNlfXeABzfGYMgQa/Ri223Eqcl6+Rb1MEaCaO6nz9TEZNkpXVU
gqlehUuu57sBWc0latlR2Pm7coeggZZiajhHvZ/lAWDkEvYG81VrghF4nSgN3UAjVYZ8trfxqLTh
YOkPUPoKsYutosMG7kAwyh7SSKA6FFlpFkdn7cf4nc0/3ieZ0YaEmzQQzka4ZXESccqvcQgdBjvR
2Ji61D66uZqeNWaQLo89Alvo+4okhF7DCSRpdzQt6pu0Z12kcpieoawVp9WGJQALL99jfF9pjur8
z8xJ9zaegacpnl1ucej9pnYGHUDhx0ZKzt0vQKzj67gtb+nf9i8b4PSq7NwbO6/AX1INPJbKoLk/
9TaCW84uWJfadgF9aDdKP5U5Tfez1orVAIwqMw+fk1TthJVBo3KC6SWjT9HgISNuEBv5iDJq9zVq
CzZ1tNpTs7B9L7qHV1t0K3PpLKtXKzAKeMJ+3ON1Z7Jl6Uq+uknJU3ejCNswB10Z72lSWyX2+o7/
H0kCwQO6VYKaHzuDsExLUYMmH7lR1dRTiNijybMpbZtiOetinR8WYxIXalFCPtuJshzVRPPNyvg/
A47ldjb+TuQOOYbzPCp723ZpqdPF+qNsyxn1BvVVmxwbO+aByRgZATOJrVPnzGzSsq8eG+hO5mmp
eYqGM32s/DyaxvigzNHrcS5P3rOu0yb3EX5RzqOcTQ8fKWyxuVJNpDFq3SIiDhWzDUfPytOh+Wvg
gHhSOt0M7Ik+xfu3GhkhxPyg1u1QgjCY3JUohZ/FRGy+2x4rb+kWSVOtPb1kMpMaCrLvGiB/ImPb
eCw/XA7LcYTl4LLC3iuc7d9/p2IbvTjVJBoS+KMjoz5vmVUPvzlHr9NZHtwBul0wn+e+fYO0uDy0
A4fuj3TftJ67h7Jq/+4d/dkXpEtT2tJE4snz5I/vSLPwdSsegMzxGGMCZCG0YqC38tzTqwAwSH4I
Z2ODPChTOPLUjBTKFSCT4iA6ni1B3zfbYYIK/a8vFZ2dH64Uc1FSiWi9GA4NmO3ff3elkIgVaTOk
2TGqgXWFZc2Y9GU1V9V/NpeVDCaz9Khj6wqxiO2D0P271K4/+a4wiAjuYASHuEONrTn73TuYElvU
qzHER2v2XMhrVR+nofJEZNwKOqQxx5SoOaQyTWJ449Fa0Qfto9u4GsTF1ZW4RULGeeQfXxZm+PB3
OPChhPzxBqqkipgQmfGx0jg0tDN1425OwV9TyxP3yJiTmlmVJJWE2hg33wTY/3M5fyzXPy5n4gFQ
zvIfDm/wgP54TarFyVU1rlyThaC4I07yBdVJD+cn4wtJFguTuZxcecmdSDuJ7eD2LY58NNvG+GTa
C3MSX8eWkhyHrffStLS3v35k/E7Vlsb715fL+C/BAYkgKA1skjdoIf5XjmMitBYpv6MdZGKxBxr1
SoqIq7ajTgUz4sLGT2a54Y7aY2WsNE/mMmEfWFK1Ps6ezfYUS9gggbVqW4SpyT+yO/HnDFMvhs7O
kVIazbZGAOnNhMUqQntqwBNlgEuQ7O8Y2OfxWzAwISc0b+x8QXbkciB4//iw/3ai/74TvS3OvxgF
fXSi/9svZkh7e+FvfWiPjjIPq+0htSVaGAJN9/d+MRxkaGuQdP9RIc+YCE85gxooXJu6hY3qd4U8
VjK2VAZFOtme23r5J31o0/mjpnxTc5sS85nhGMyETLHNsb7fkNB7Nb09O8b1qlsmppu0j5cBibCh
++XS32gDUUFNCUHRH10ra32a5Osr3TMbAW0qjj1ZLdcR7323tFq5j5e2Ri659jd1XB3hoqiz25JQ
bhaefVWrSnskCAmNdRWj0Uxdqj6ztB9HzhxPmQtUiEYy0lDRtLVf9lkb2H2/cIRbxd6gJVvBa44k
8A4cNbxvkOVWjEUtubFl2Z2ZyTMnbaP7aW0/zX0dbo8m3wSCdWx7hA8uVnJyouyzMBENqtwLk7h9
VzRqQ5U1fVCOXRZ0slpuoi4GvjXoIScuRj/Mktui13aUVmJPF2o9YK7lYR8bB62yqhdvGbNd32wK
hsLcFXP3qcsXc8dDbnjrjIFeqFPSirDA6MjS5veXAgXq0pqcCVzvuPQqfYDwX4elECtNVANZTL1E
NMub8RgP2adu8XQk0vm6w1jKQB2yhW/qjcQ2Y0n6u5rlTxhU/REkypnT2E0iqP2oSx88vZx2AwQz
r1THxtwku4UBtghVNnqMWAcHqVP4ZEj9kuXZGkYm6MP2IZp8CAclo7BYVBx0lmajUFQ/lz169HlG
EF6J9KphlB5IY97Vq7PXUqQeFpCwEEIazGVqFr+17KMHS39Avxu4uYHGe42050XSYOBIae16Gqy+
VAAuDROSM5Ks5WTwLLrAVcL2L9wxBGEC5GYWFtwujXPDrJth5UGut9z4MCsbwBK9pJ0nsi/N3JhX
LXBQmgoggS3Zhgr8DyTy+JBI5aAz5NhS4I3Ks/ZS9/azO6/XmTE5fjza5l6rONYKfU0OTlO+reQk
Zu1gHrI66uh8T9UOVah2bg3vV5OubYhxzQq5JzYNpm9P3BJuF9+DxUJNG6NF4PBDrkY80O4Qa2D2
hY5Fyzq1Ria+LOYqkIT2V7OW/7wu5rybE7fZZSlzV6uiabquAEm1gnsBcEAbOnFDXNVqKqAGyxzQ
vWzDXHSftX7AK+DMUWhjfIdTu7QHNLfmrpaeubeRfu0jmT11+F5uKp08cen+HHu9Tlqi0wZWY2sX
4rPgBiFiMkOnSNOHciS8gnRrnbZDshwgy3UXyAduKBwvf1gxUoR9v94gbyr2LsClHaIne79y8Amx
pjq7aoZwNhiaDsusg/+PJX3H0y4BB5cboCklWmQns0+CYyyROO54ZGJzGqzRuOJookKNpvwTgWRc
RRdOtkF7I7Bjb4JHXrY+xkTqQyvTnyDg6f6gCZuV2677IWmcwFMrk5I1rx5zWPl3Eaeps6AdYvkc
JhLmF1qe7OyGYA56HTZJOVWOjqXP97xVde3gueAvatcVqWYHmK23NH9+TtG6QmLgNDi2uNkVj/XQ
WbmeDZOMo5MUwHKl/nWOEoJeJ2I2NxyGn9nDI2jQE5WNfXbhEG38mAc7ytodE54aYC2MrpVk3NA0
YfgYrfeLGoqHlJEW04G7QpFzohMZesBB+Wtprsu+6EgYH5zrdOLv9051mOxl609U1d4hbjPAE9CE
S0QZkJCN6APNe2vrGDSySxcZlfvR2ZJhi5xROabAIYDwuOwMZGVhV7XcUrHd3SyGs1el8ea1khSN
FA3KCMfhMTKSOCgdb7fxgHWWGhF97a9jT4vOWQE+WV2GFrwQ4hy5Rb7PCmPc5QuDjmXImxBhsXtM
oAjXhfHFtvvrLDZJXrHmZ3cit57UnCEoFmkDQ0yri+eNL0XUTWHTOL+CApuQweMQmeLiYgh15ZhD
d9u4xjmtMaFYdV0w1yELXe/uiiSqwkgmbhC17deug/qeeqRGWKuqD6YJmCKCd7Bryc65ZhIF8HTu
XFw9kXcsMOn0MvniLa53WczlWBeVuFptdMyjsbT7wS3o8bj8xmpdLzSL0zsyPwDf8xCatWhGroQU
nHi/Yt8py/L10nrcpmGhPbTp1dL2p7jDyQlvSvNjGts+SnE9TMrWfi3y+fMUKXV0FtDdymC8FhfJ
XhnDdJirWdszNqK5Uo7ep6EY7/TYgR2CR503TsIHLtRgsJCzlWAlYZPvwK7v5zZF/Ilr5iQS7YVE
jsxvtfldplDIZaHUyR1XktrStAOREdlH9t/0DDkeQ5LGLgcTEDsNzEHfRed3SFdp7WPaTXsDRGQA
sE4cYid7mcbUwpfiXpahv+rzdsvziL9KrXHORVVEW6tp9c3GFnvSMN2dMEv97DaM02rY/aBu62gP
0K0OYXqD8Pi5oC4engh6j/C80HAjsvE4M9MzmwBsmFtPzwPHW5IzMlwxGcGe3H2lC9O/84hncRIm
HSwyHFpWL48tvKsRtViDIvNJKk4B+EyWpevhNlh9ze6d45D5sAuT3Ws9SBNtHzbib6bi7pvFOPtm
OK5+8x+jPNvsyP+W1/9f7lOO4Jzz/nd5/SlJ/6ix+vaC38pqV//J4hStUx07IMdwI/6nrEbe4Qos
irhIJQnQH/Kr/6dJR3BhcNIUjs1/oeH4vaxGk77xlDjRkRvNy+E6/AN5h/hR3eF4ZLnjZMSSgUIa
kckfq+po0uIxqSzrNJKNEoVGtuYPCVaXMzinMZCLhQQS/feeCmrdC6Jazy6iw1cezPOTVaG7MO2s
f9Fl1b/EM7ql767kn3SMfmyD8O4MThcWb5DTiv1je8ZD7kqgpmeestGs36zEBIWkJ9WWU0W3pk2L
5eA1OtVEU6NZ/+vfTZODz/79cR8IBmJ99HE25xr7Q37z/YkjSthGbJW2QCajz2UbMd6bVOrd5B6q
yNBuLOcaz2ZF4txiO1ez6RE4h/ziy7xW67ujCKAIm3WR57ggzyW3VUGyT6fyXdfW9r1DFbUEpEdZ
p2gqh2vRyGZPrUxwCqEffjaX7NPm2JefEmPRodgItgndpfmK6t1xQqVWGDKuSrTWl4NNTZ3Zxive
JHxRTLR92nj1ldMDzkChpB7QulYMKsyKmfUg3XwftxDmIVomzM5SU3/RcDQRzuNc1LxuoIy15Rns
2E1FtgRdFi3ZGrpdLcfjQnsxyKEZ+VAqFCo3ZxpJ2YsoPpqkIp/EmJfPVbblXGq4Yq+tKaPo65bh
xYVijydRR2frY8iaR7iaLu1umS97QlZsOMhIxzXTmHofD3f7sE1R7vU+TUWYYe0n9EC3aXo5ekfc
2OztJgWeaT/KGURnylJ6IEo4RtTctnaB+i4ZLkLVya4anEmdPNcrYJgbIB/mVFHmCTn1EDdtoe+Z
CkeuX4FgoJywbMarBFavW7hEp1OYxKkxkapB159JN1EjDbT+I3WgofmFSWd8sqzPTra44BLt6i6v
uhnaZQvXV1k0Ys0tHdGP9VnsMXF2+25ANb0wEz+shhu/t4kx7gk+hVY2jiEr1SO+xSkfVmMZMVrU
KjuvmZuFrjU4b4kzNEdy39adVzTDcUlh7+4H+nQw2jP4PgGP/JlCntPrAS+CuIo0dz57roieoSjT
pJ8SHkLEoya/mpM+fhI1Tkk/rZzyVxpJW5jFSu4vPlli+jBItuQojaslfdshvCpk7T0msZbJW5j+
yoL4EJX29EgmVDo3futU9RhEKI7iIJsjTLwuWK73KqPRDOWryw6GXk/vqA3KLZELmC9oFXSM+g00
kC59w3lakPRU0WL61PdddF7VKk+FLrPxsz2nMa0qy6jfCPkbFAFaau5YFa02/FJFKivCzhtabIfI
7NPdQDSDtqtx2d6Mi6gWdJLOIHZqpG/4CHZkWY5o7xFnalG1jdyrrozDTiVx8wV9DXpPDJpYLNDk
VIxJp1w/YhtJeBQM1XWXTGkTttTGb31NU3jrBHOrz3p9QtaSPwiHTTMGciYg16fVJ6Avzq2hiPeG
3eXx27rtsy0Jzhu40GJixNlHW6/f7F+G1M7gZqUj756Dz/p/7J1Jd5xY2q3/yl13jhcHODSDOwmI
VlKolyVPWLJs0ffNAX79fZDL9aVdWZlfzSsnWctZcoQi4PA2ez/70FS4UgjardnUyepFgbVDMCRH
Nnmx4kbedux5tQ1pwsNXPaWSJAKplfrZC5HT+LVRV69oJmj/WNujG1+PcqYAfE4WK81tn36YUbR+
PE+JsTzlnakllZ8pk9jN/RSSwQDZGULP/CqHgV3aySVjhX9lkbcOMfJZUCGTPbGo8bmMCFDqsAPJ
8hXCeMGl0xL/XrWLfW46wTtmBVRpOzUw2F6xW6QMgnC7RmI10pZWidFtQPRObCEjhqVVxY2VUKZf
tzIn5xH5XiUDMilHUuOdHgbtSKrQZaFhV+RIBOG8MYC/HZGFuCPBjkDLmMbKcAjKrnW+sG4jRYUP
B9x3HpEhhLncnvUNq1O3ZRrjqJdKaNU5tmfshThOqk3o6tYxYv+5zVRXfe1E/4hZyT6OLJPlavpQ
t4Odm3mgAVeFUoSyAmOsmxTs2ismP5ZMw53AvnEVm2PI+lQDehhTzz8YqBhsSsFBvsHftFnCkEuw
q1S2TY0KFFcu5HRp5Wl1AT0xJoxgackQaujspsatJVbvVlyYWt4fPTawMNS6EH8Azxni0E1vDiyP
6KKNaArH8G3Z4bpF9wiWd+6dct6XygSoLUY7bQPO8cgn7M+CdsuB3xVm9/m/heP/snD0qCj+onDM
8leklL9qgy3yff9nJmt9QsnLeWEgqF8djVRn/5zJrtp923YQDX8o7flPP7XBq0B/XWhRuBjUe/+j
CwZlQoIBU1/0xlSd/0nhiFzp1+oIhwCjXYPykXeARnXli/2xOmoZvpSTLZqT1WsA64hn69khg2bo
3VtJHVAdpRdpwGWR0yOcb8n6fkRZRNYuJS+7tYkDAEFLUXhJuNcGcIoPw9zkFzjak/Smt8v2Cx4Z
50UudnmKaVgvepUagaex90JlmBQn/PAYdDNvZMCVlpdp3WiIgeO64swfaqLDZ/o/hUkuWmKD7Ejk
Zd7LmMyEzrk64S+sQWb7eVQTOqCZeGcEFUnMlA3P09ZElQ98O6pdnksr5BfSF7zfqq2yaFev2QqX
bP7jPtppeaGTLK4z3p0Qy7CbVuc8Zpzu7HBKL/UZxw2/bjxxCmHZmYkDP0ATgB65JSpLh+FR4oBw
6RONkICgIBuQKZ1dA7ivYgjK59lskrkY2KGH0tOZAY+jg5ubfHv9Tam8UwsUr0RSU7G0l8gJSjpW
4gQH4sdINRgQgWyAI5MvM/VMGfJN7C6NBQQjra3Fz+wxQoiAO8qIgS/Cn6iW9BtqlbmTsDiLaJYY
FwFtbBzDGqO9kU1he8Y7qR118ulu9NQNNwsRdES9WBgWurg8xpo27iNZGwy3KKA3ZkfW7AiQ8Vbk
BIzaXj2/OnUK+gKtrj9nc4xpEHEUENbsssUau686qyB6Dd1HVo6QvZqysjcQ8deJwAQEmdC4oiir
AJVydC0Nj0jJOJ8C24qywOqpV1I7qg7kh4a3baGKz2Gp9YQNhCQpLdpYX+ep/UiIUXRrota5Ia7I
uWWSPL7EePcCEjaIm6vj6ZbroUJSVyU8GafwJjeq+XMW15rhq4HM1BAhVEBwkHP2vCx8iolIOEyx
rV1rbCYZfbWatxud1rwM7TDfayiVF2aTzNyfkPtJOHG5/djYorxH9klIKVv7CF1SCrTMR9/mTH7F
rvdYMhMlM6EnlxG8fn9UFOh7lWfRk4l79sJbHIQLopbqgW0uWwi3JiGa2XabvwtlUQgDE0Pmheyu
3GasAEGRG/KGfs45tko+pLAmOqBm5sYyJ+dSoF2OeE4ueYk5cBivEYkbFxCsq4NlUQD36cx3PeRd
e0vFXj615PjsR9Kpvioj/iwaMhL63HVPfNPFFhun5c9dTWII8vfb0O7iEwlg7UOED/N5QO5I0Jya
jLe0avULbSl5lDeN6ZxUPnk7K62/A6gJD0LihosndqcZYUf3XuYOz7qd5p9nCqzPpuoTuHONm31u
MAURz8UdZmt9u0eDYGw9R/W7pLYvVAW0DnNyvkcZBAveK+VJTeR4oYZAMg09wdNA4QNmWyQuH9oA
Pbkpw3SCt1FTa8LvNrmKkUzE5LPkm6TXuoAg1nlbqQEqfYiVk8+l3zjgFYiB1dmkdAort1cGNNLG
k+Vo5nWvtY/J0t6nteZ8m2QFlR9aDCBYdJgO0pd6YafQptZFgcz4Uu+psuiww8BJoqNndc7VrNqG
W2Po7pfczQMkwtWbPYAWrdVS3TAjXL42KBSajdCgu3qFqi8i5piPUUyard1g4mMH0xBStXjRFXvA
4aUnSqqsUDtibSCnL2O5Q/3enoakjl4ZNibfc0Wp3I3NpTGQzC1tNQXxOJjPBpX9wdQchEqTUvOl
MdVuYJF8RbXCYJ07zor1s0C8vGuprpAk6W51m6XdmvfaC6Qrq5pz7BIE52jskfnGsPOngwEO9q5S
6745i5R5P/ah+zVTBTKXIVnVtu4qT4UyM99ZWohQDRHY64AN48KzcbRS56xmkWGV20eiJNWJdg+W
h7LQJa6a3hkJw9lBCTdvooEoCWGi3UIQBwumoMLd1DMGEg3O+xl8PEZhJSu/16c3kkjLO8E4+xhp
Yefzl6JPSiFEIKjz9qjJpkutX93Pbg08tWrle6VZ35K6MS4FUJLenxua9txjtovghJtcy64U+5Qr
D9ThZayTDUBT/RbrALoanRLOmqbHSm/vQfaxlxJt7LMwomdlCbJLGC3t9WTxbhvRVlvNNmKT5Y3q
DpFGUGs2RuScJSFD81bgGpPsh9BS7bjf31J2NneN0Sk/plB8iBw8sSJu65NK2YG0bSjzK1kB/JFd
OV5VpR4dyAAi89ou7H5vIVK95cotglL31E2CxOhbM7ESAUUg8msiiNynyA6tE+8QUo+qMd9ItoqM
9GVxU4QaoanGXB0FRGVfZ5IUzJ2eXGot2ed2WVb7fpiGwBqm/sVogUflLszA0cm+9J34mjZE5S48
Hi8J6I7AAHcqvrFc2FdlV5FiVMSGP5tT9y5AWm8HMQ/3qW7L7YdsuoqYfFgIlAOQ4eE9k9fuzPCn
3yuPFdzcJe01VB5TbNPFW/PlDdahhJlpR4WqNSHoVpaksOtW/oX0mmEXYf39VrjEJMyLzvfqul9i
N//eZkl3hGG4qoMzaDiS/xVKx9vMkjUjRDT9qCOmCLA0GTsMA+JyqbX0zUtd8jHAKe5x92v4scP8
Nu1zE4lomuzqPm2OAwXJdgDsdTCtas0RovLS2OTsgZiOF0lREYaXT6wOe6Fp8DUxk091NW5Npyvf
eqkSst5RPw8QU4Y5tg9qNAmxlleLpepDaRUZKl7P2FVCvjV6fTsMLqUDaz26RSiXra5tZlN7FmDb
N3HM/D4h0Gpj57q9zfTq7NTtraMTM9w1BDYUA8uFTK0zgzsXMssJaV+0K1v2qLi4jY2dlJgkIE53
Sx7tQiu/MgtNg3I5qX1uD94BWCM6T7O4xeN9gy4y3sEZILGCwFffzmdgF4MIAMbn+w4Ad9AvMLqt
qGLfEA+QZuCqcgg75rXWI0zmbHceestIDkTXocmW4nsT2lAEZkhpCZLVDW4iyYMsI00UndGtQiHx
lhQzckuNy4881oM9jeWtrRHd6fVk4I1yYCLn1cNxKloP1lzEyiRZ3FPRz7d5Ir8QMPX4317qf9VL
0cn8ZS91870suzkfX8vk137qxw/+9Fpan8AeMnSn+F4ZLO4fhvHrnJ6jH97Lx7x9HTX/HMYbn/gj
G0PPzzbsf3oq7xN6Rrop4QoT39R/FjNnfFADf5k4Oyu5xhG6YbEYgAf5a0+V030vRa2zWXfKbA4G
UTH5lLkyz0Y4Vd7q9BEmLRPkp53q7cbbGF3bHjnRmGEuDWZoP851koObrs9lEKM+0DZwHQaGY281
T9FrZYM3oDHSAyvh2btZCghzgM27Ds3ubAWLnSN+0MyOCSgbU/T/POOpohAeL/v1iUjBN7fAW4Et
sKPQuTuW5TE0NLwTFq7KbftBaKDvbchDWrkN+gfDQXzgHD7IDtkH5aH6ID5w3GQBipAwGOLykBBc
/h1KTPSmFmAREz/zLOcqHej6gEnEH1wJ8cGYQGMKD35Y0RPVCqFAo5hfjCuYIqni/mpUwCrEiq0I
dY6WTbXCLBg/s/J1onTkuQbsYlqxFxouQEAshUetVIewD1ZAhtvyMcMdQ5EOb0E/kS43bMsVqmGs
eA3D45O3VuSGWrzipl8xHP0K5NBXNEe6QjriD14HdV15on+u/XTFeWQqdnYGK4/eX4PSSCGL9O3s
2BSOLYDClHQ4/TPD/f5ygBXSyai/FxC53D1rEFgiBga8Gnk9iJGyHcynKc+MHeAwd4+dCYD1uITh
FbJLkISmTgNYwVyQcuzu4NG76da2Q3kyNaW/d5pdbq1C3DnjTeHlZdApgqisSL+xBkBciDMMc1V5
Di9rN/CIsWq6HrtU+l4BU7Fze18Su8D8qi/2ZjnlJzSq4SXb2/KWCAXrCqrX54TWI0CXnQVQMuZd
2UTh/TzIZmtrsjgoggz0SvR+RkjEXTg0+vWgdU4QYjU8MuiDd8Rsk5B2KpRBr4JwqZgnemMVHlIv
lBCgi+wdHfWbCD1tV1m4MGHz5OKOi5wp1jQ1BIiIYoMRzdwKaKBBhsQV6Ym8rbjafBQiF5D64k3h
Nnagxd3zggl5s0yEW8fs3TZydnmXXSz9aADjKAaRgNmMtWdUqdGxzuPmTuZ1fTWj/j45OLOIS4gJ
dxTT6OdWix92bLhuuGzVZrJnY18z8AVZHcP61i3aczZLzPGY893NqpcbQsGsKtrbVjFH4tEN8ynZ
sTxR6zpCLJY9BKmKo9i9UzYR4LU/awQw3xtGJtW9RAIDSFXiqRFPwuJa2OoyTS7sVnducVyF8efJ
WgoSrUWam7vSq1ie5fgkef0xOQNgNVjy1YA/cjLJR79FmgALU1SafAYSWKZHtaIVNjmTAX4bDHtW
uW+xUoz3Y5JYCoDUxzIg+tgMZKY+pi9Z1rdLGRBpV4LtjmVHVVaTqhuMHeuhgMssil4KkURr/LlI
+H60quDyRE8GwRlIC/YbkUyruEPNDikj6FrcbVOYfRYd5t61XoaqVP2bk3kis1/4jLxh3ORDX52Y
0Zv0u2WY9dC/SW3KjoRHSkZRwLT78KHMCM7z9Yb9qm/0LS087sTpx+byv2rUv1OjOoBE/mrqeRdX
377/n2OXv5bfGHR+PP2P3/7f/yVHcP3Bn09q8Umsc00eAh7cgQ8o80+Sm/hE/omFeMfhofzHICPj
Ez8BdGQ1W7BN/8Ps0+Kvw0r3sX/nj/+DhTkel1/nnpbLP6ZuoUpDk4q89TcdakNAcFt4hD5qFNWb
dI4rBhJU8djgPBxEhnxWxTheEU+ECWqon/NIrqMyVkDVkHMqL3EW1Iy3qF+LEvmU/iRDPaLnzJuU
k0y5wcIw9NhihfKtWXN2CKsV3nbnXIPZ2RiTuEkn1b56ZnFlK6pmTeHIZXff46FgQ83alSxAF3xV
8j7oQ3JGDsVa0KnRrJZVs9E1l7B40pVZxC4Xlaff2KJDTdaqV7CS0wac2hZh0YqlT967POX5bEbz
FrPZ2TGnvULXjTW9fPey8gr+2l04SSLHkmGHhfdqmJcbK50vEP8wU0w1bKDJK1VEBSx+eZN0Afko
3kAoPjdzt6Ndyf22iM3PUL8OSetiZdAxtFTdmvqkuWfRm8/ZmL862Ht2eqTu9Da7Wj+Bnqcgg4b8
Pa1XAzba052ZEzRvFihHh1V5NKrxITLV3Tqk9l1Uhcc2996oALy9iK0D1teLDJToccmxcWiq44PR
dVY2yclYDa9TNj3YjBdUbT3HZnZit/XaNilgJnl2YpMZg211W4tfSFnJe9XPNxaE+91s9rvGq9n1
WCs8jUX+xJJqUxpMjYyKD8qI23CDFKjfUAbE2yTzen/QxgoPBedxpK2fZVy80rcqmDNY/npORH99
rdri/6A1y43q9JveUPshXi6EiwJTG/WL2iE6lJ3quwl4ZitFcpVl0wVVozy4FSrcNOE3rKz5iQwq
esTezpGcmVqQdbzQmLBejiGFXbYyPTF0fGqtJuTUnh4KXQbTXCq/jFvorlXyWuJJ2ubGRJTQcjEa
UcIB3ibnrHGek0n/SuTCtQcJGBIOGmSChBeJabqZxoelkQfYFMh1W/MQIZAip8pFd9oDUUXNcIHv
Pt4qwn+IURLmCZyGRzB9z/DXKExs+vpTGYk3j3EfBAkiTfsoPzFVeWja4cGa8vdCTznWbSJOh2J6
MEMRwxHua2YNVM6LrbHyEgmzmfVzF6XNzNZ6rpoy3eHgArZnOfSX/By/J8N6lHrKtJ8Tp53p+7gc
eUSca0ZaXwi58nyw0XPACGG8NeFTBPkUhcx2GLDNLPEPjTOPp6aS47Ej3+o4jRp41XjOtyi5CkIo
63mnx/l4KuKm8w0tN9960X2Zx9a+FC5uKK6aKkF13TJrTgMPNl7gZIt6DZ0K7CyTeqQSqdWUT1kZ
PhUTM/ZgsTov2YDE8Kc4PJP5+YUZ5+hnU45el8fdYiZB3c/tlhlVLILWthk1JUAETm7VA0d0mnOu
xTdlRf6H0qynSmP6gz2YwckgX6dybt/K0iDoU0vjbW4jr3dgKtaLZ+8K2ueAeU54g2gYHm7J5b+k
xlslqhpzTIHWfdR9ezLEznRopXkXVELEu20aVhjBhCrp2tKdYT8ZXHRz5jw7mk0SaKOO4di+a6q9
sOzs9IeHzp8oi/6V3+4Z9IC0bB+7sN+deUlqW0OqMobaI8keeBZ7OAPTOZHN1RIK+2+0RGzdflUS
QePxeKCZQKws4f5Oi6cIHEp7BksVcasHUIpPRk5qi82I6m9e6XfFlLsmEuDS4MV0A53YbxYl5TiT
mUKvOxh99ooIgHwrjuNUKPTvrNcZuuG33P31Z/mrMwPQ/vqaEE1tJGRQwZzfXI6RWXqxS8gIdZmM
US2OD9XEja2Z1kFpMvfX3xcyy0Xbcbr99Uv/i8Py47U9G+cJjbjAMscn/webGtYjtSC8KQ9d0ZpB
yvj2ZkaJtB4XFwTyZAfdm95UN6GwUeN4SseO+9ZDPU0g2FtMzkJULhdDhK0PrcDBgxTkk9i2NVx1
ocDn4cWgeWOhsGmq9Kq0W8AP491URE+6jDEzTdZ5cHPNJ27b25P+Xr9EzPh8y+V4+Ovf9E8uIaJ/
ceAI9EjSMH77Yo088YrKsPCqGN3OqvQb3VtuwKY2f/OJrtLC369VXohQA0i1FpfSb5+op4Q78R+5
Vj0wTLRSNzMDv63OcIJi2ksD/KFXfSSK23ycb5xeL27RAScoxqL3ZuRcXksVCIcZvJnpItKQWHlq
eNA8+2y2454k9n4j66QAWRvbePiM6TmSxrwvIqPGzDcnF4PedndlNj1NLY/9wUisExacAsVwDxCm
TN7DBFdFmeV8i5Nb7SctfQ+r5cmNht3S02lMZD7hxjuAoEj8qFg+cE0X6Mlz3xiWG2dG4oRuQuyA
e39pJQ4IR1Bj/fUX9icnDDv4NYRChzoMp+vXK3NhbNhY8GEOiwLDQTkxcbKxEwWYq8zDX78WhfK/
fGdS5zlFsJDjyd/Nmq0xJ9jl5xJj/3gHMv9UwG79m5f4k5MFeIlhoSsApWv8PpuC+J/1ua6D1vPG
GibuBCg1XN7Wkx7h9bzvETVlhnXwNOOsQi/egqc8sQj93KXpV5d1OvKcsUWpnZoHguR4yHqcTvVc
XDHweV9sZW6dMMkOuWkvZBWaQDXgP13mib3FdvXoMmBh2O9GR2vGzJPDfNkIYZLI4DX1zmhJ8SK/
2NgPEzMr3UjeJVs9JKLZ1ThlxGRE84qRpUAVtLCS+IySXtwf9f6uKo14i1nsB5ry37pFrT+5Y/ku
MF0SX6NbljR+vQBKo4ZpPxflQeQ0CmNcJH5C6ObGAHdwJVBvkc4gU3xL7plwLAC1XatvGFpc9ynX
cpjBx7DLYafCRW163LiMyPRnldZm4Or01Nlon0N4M/4QynPMZJBVICdRjcc8QIv4pBvqben0TeIk
9xjLqaoafuFWm/ZZrD/NFGKbOozrvZkTGF2ru0jaq7yR69OqOfg6eyREQ7PSoAhzb2/I5cmr2/GH
qvzffkh/cpPwzFj/YX5K9/bbZ6SiBsOeGsuDgk9AiYMrXvF2LCiyYR39zTdC+su/3icuT2GONRhu
7r/ck41lzoyBhvLQwg7eChvvnRump5AnlSf4fgAwsv2daZCI3+w3pJw9M6GAhkABOFShjVCQ3BME
Xs3WY95Hsg3r3nJ2v3aZuGQxcJ17OJRij2p/KiszMOvurUiXuyln6OqsD2Mus8jMXkO1VqmwhtNF
v2oGch+myvApV7fQYd1dz1f60V4u1mQGaDsM3yMzmqU2P1GrcVeHQ7/Jlz4+TvC4PpqgsJywKMDy
PpWDekh6GkmXyS85A7R6clEPbR/B0lgz7swRBZq4Ae10Mk2qNeEMAeb/GXECrqaCPwnH9YKsB6JP
rbbbrrdRN8lz5agHO1obCJlp3E+15ucN1RKA4KuJ5WjACqjbtsyNmlRyi/Vhc+nJ6a3t+0DBm8BD
nFwlBOn53kQpbuXWcxqPkL8sRNSVPIAEPJG5cVqKpgHYyw3c9/mJpnhfhDxZkmjkwuTusFV/hUbu
S0xW6CkTkhXyGJhGO/trY4Q+gjB1siIuCCg+g/p9Ntrk757H9p/c3tQ6QOV1idjK1H97TuIDShv4
PcWhc+Y3LG13SEzP1Bd8eJLbeq2/PlrtqgcO3XtUeh/3fBn3u1l1akME8lvJQIvY8zLderg83bE1
nSDvI0BUhltuvWmYD7noNBq0DEdZhLCVkIboDQagdwWzJQ6WiOciyyiM5uwZ/MVhU6BxxqT9/DSa
lFt6axKTpieDP0VE5OYulXVEY0hWa2xiUENWrQjBGR56EHMbTKB3LfZW7Gn51TgMd5YEo1bl9rRF
OGkGjVouiljBCIQVXAhtwdc0v9ndUu9a6CQO3QE2V/s88hChyRweTMKL12q+d34+X/87YfubCRvc
AUEt8e91hfcf+aB/Rh79x4/+nLG5nyR/FXM3Wxc/pII/waPmJxMz+B9FhD+1hfITNm8M2CBBbQtN
HFf9T30h4zeedZJbAp2hYZKj8B/M2UhY+O2sxgCjS92ipOd9iB9zuD9U9gOI/bJNk4oMMQeRtEe4
FFOIMvH2MbzcnV1ykCMKTt1bLzEhTRhJmZyZjlfBSCa3G2DpBg0XJuZnVEfzDWj38n7s7PCLZwnY
kovJytuBW3ao25W8sOaVXiRre0Z+QjX5aiJgNEDaSGZKjBLSvKTOhxbPVJzbyJImmcBN3mwbL0F1
284zVR6D5Xhi5p2W712BegYu52ztMq2zrmOEzTdZHFq+VjEP2OqNZp7acEZmj46zTAPNjI34OE4d
5rtqtq8McpRqjjM4jUNhmmyaXPPIqamX2ylvxhe94E0FTRH233kVgTfDKnGMhEPJMM+tG+jiDlvy
H1hJxPh2i9SvrzLikRVzGJ3CdWsuevGe8IUfZAjuju0IHEOxJOG3xZacwBm0q8/1AvTID3lnny0E
TZ9LpWd3XqZj/5yS+FoNYflQYza57ol/mC+mZook4g2mLBvCHN11uZaLkKjxhgXDEtfu7ZTxvhoe
HpxTIiREVDcTnIlWOjm3S7LUX0TkujdhTiWz4SzXRRACBygDmHTVznELcinQrhF+Wl9novFuJMGA
6DYtTx46Pr/diNT+kv0GKoQ4XqlNSBqmeCxgUsiyugeZ5t5q9BF0KTFPotmVxNHxTOIZA6UQJ9ER
MpZ50nKQjxh0quusbSBkLOxmtraTihMiG+UDMRosns2G7A6LVvT8zsLcmWXSfFU8v15aJNef2eVa
pu8x+rJXlXX3TWiFu4UcTFQBiw3vdqpZdMw8le95RkW3E6DciIMf5aAvCV1igNdByyAaCi4XFpxX
F/6an3XCu6xr04l2w6wTXDWlZXIInaZfjqRA0Ewl4aBdGjCmlK/wksAhBAAF8osFaX+MJVujTaTq
4Q6ziUR4ZE5A6VxNmBvBZOixZBN8Ff/AL5kfLCb3B5jJ/qA0RURCYdvX/gFw+qA5zR9kp2aFPGkf
vCeymWA/ZR8cKKgqKxQKtoS7i9oPWFTIJKs/9R8UqfyDKGXUHSwpBMwSBesKnXLCSLtH7caILAuv
nKJA4TICqYqhVYUrtiqnovDe0h84K+MH3CoqdKcMnBV6JU08NckCF0tfkVjhCsfSV0xWb+r5sVki
9ZQg1go0L66usEw1245nWLqitiAEUAdjqBEutp9YPbE7jbCfroiucoV1VS0WS9bPZlFjygLnlaxg
L3tFfFGjddC+St7DYdYTKGDjYAzB3E/Thebq6bEamKnOXnlXLe5lj7YPd5vo0IxV00kl6bB1SPJm
tBxjn60YuGuWRuAqJw1mY78Jl/3k4mueE0NsmKw7Z8Sj97BqCZyL1Or5kU+iXZNChmGglh2qa+Xq
d8I0DVYCtMJ4sgjAsIAAjDnKOBc01Q66j89+t7zQy7r7ns7OWV+M8IUAJIW1tcnvS5viNh2rDrUu
CexW3o03YgjNXbOip1SC/d6yl3PSuPM+t9hvx3GX72aBqpUsjM4XzAN8wuiqGv7b8lKFSB3hEF4v
dXvVq4zEYgRMPlln7b4Jy3aX2pp+hQ5NXdsdmt0E+wWWhmZfJsLdJuEc7oCesC8PZedXgqTHpaKY
ycdRO6Wgmi/mHODh4ERfVldJEAk6n8yB8md4Q0VhUrWfyYtTB72I+kfmPT0XhtL2UTu9D62d72dQ
gtu+BRA2CiP8YmZSKzb45q0j9pwiBYRn6MfBplsAlGHJixKa8s7zkC5varTS+3rIrJMbMm+YNM25
HerYw53MoyktugR5l4U4arQX5zx3DVnEUIGSdOs2yRry24RPXiO5ZWURgp0YYrIF3eZrWWUVvQlp
xM81kDx8JTTTYWK4uwLY6b5axvqlVqH+GeGatu1H0NuVKpczyu8KX7dqD4VZuLcm/+Gqsyftmlb6
yQEApPvCg04Zddh0WIaKaYPwLhMnOaXRpZcVrseMTDbgOJPB8TODqnHT2CiZLYWWUZL/5o+GMM8m
ckzkJPHUbrQaSpmD+wo8hZOdEPbhzqoR6zXo/J/6Wu8QZHfEQycD6lTdbFfcQHXLsF8/m2lWBm7P
Jz3kXAYW4TaT0fnTurQxADFsxs7Sji064O8mW7TvQ9Eyh4OkCj62D+EntJYN/JgxCbnZcyMDWybi
sSLu/i5GOPxtAu2/rb3GvWxC44vmDe9JUkbPqILIT5tL3e8s+VhaUgPZ2JHYYWYjol9AdcvchI9R
a+0ZsH4J7eHNNRq5XyqCxJcQk4GZzM8zGeVBn0MqcJz2tSkIqRtN/UimD65PYdTfo9AZ4TNrVQAz
Jz2MBis53wCrwYIiFDc5mL1t1qnsthT2uYxwmzHiG7ZFb6AvNCK0g76KW1VvO1Es5xWAA/Om+zak
8QNrCEop6gumMSSamCPgQTDDAdtF1KTeeriSk7MWM43r93R1m4mn3DYuw+TVyLIHzbDZn5Eb9yU2
HCBOiet8b0V7N4zinexIkCEJ7EXNeSnBvCJqBHQ8Zbpz8uZwuaz1AYOASQRjRC/ALv6kyizk7Kzr
LfEGWeBGo3lIp7k4mmN9JK9lBU+Ix0TN2WXONY/MEP+9aDtGDWmPk1RP9+2Y16eqn+6tJe52YolL
Nptrfma6fOupP/3eHKp7xvajnyAiBBlTmDPzlHJEokziy1x2xW4ayHtsNfctjIxnYKnhi95I8xqP
NeA/V6Kd7bmu5FthFOIIBZtFW5zUF3XJTm5ojO9OoYgOEt+YejYx3ou89kXZqYNbk3HTWbW1TRpC
a0bXjvdULM6d0OYowOWV7nSqx2ujdMKbNqxOLV96lbeQhfVzPHeWD2KPS5QNXjDHE2wLkYqzWaeP
U1bbbFXjYY/tXxJdbZTV3RAPpFvRCjojSFLMDXB1JjTKTWcHZAE99ZCU12KzEeU17rjIt5RHl1e9
yyQCMlDg+tD061B110uO+CPuSZwBaZHWxRf2olAOuulBdcNNLXok6uUV1Rr0Enth0taHkz/PQ0YN
CGGHaFek8W4eY1U1E8mqyrHkJXZf99IumhKcX7sxZiyQRPMUy43Rltl/M19+yCD+rvGjfWMI8e8b
v4fv02v3R02F+eMn/tHveeYnqa+pEMKzfwa3/NNNZn+yyZFwqFVItEQZ+U/1I0kTFhIMwwG5x/KK
ndI/Oz5DfoLFx/6HhIp/cMH+g45PADD4teVjJictxB4YicTaexrroukPLR/3izaSRqsfVWO0n0fN
cjZdPr+5k5GfF1h221gTHFsMt+8c5V4BX8QYPKbNfV3B69Lb7jTM7H7WJG10cIN2nEPTDvdjlcY3
Q9lor4ND4KxnV3pzsNyQDTTcgai7KR05m7eWlWRGgQ0kF85xEa1rnFmJ69VjBxqYXFItWypzD28K
2RceG8jPvk5swARTxRv7wtqEIclz8FcjnUO+hmXePOYu7GqGmuDOxQmSjm2wzQ69fuvEutXt4twy
aiJUoyTnPCwzNKibCd4syHbGhuLkVDO2kTnqGh797FPRh1vhhB7QcGZ5RKonSXnNGP6nD+GsaSig
hJONTRBDr3xNy9D9FtlpRFyHQWNEoBRJNCNqCNCxOqFPbVrTVED122dMHy9c3VxWvJJHVnAqeKKp
ntt4N+JZH7dLxZYtcKv0UERsuaYy6UnyLs2ezNbJhRTkypd5lNYGNGt8SLrkPsLMzZc1pFcNB9gh
NdRTWmHtSrHxbUThAUT7/+ydyZqkSJpl36X35CfMsOiNKjqrzZObbfjMB2MGQZgEnr4PnpXVGZFV
UV29rl1kRLrrBMI/3HvulOCOb6skfct0Rus5j9nJD/RN46hLisPqrUuqGvZRd29XGsNePYZ0x4n3
o9fxtFHD9A60mPYAZ3Wh7VOii1c9wmabAf+cg8D5nsDe2dlxMTwtwUB2EH3agf4I0HrdbDh/p0Pn
I8kMrPqA0/FxXLJX9K9fRLr0l6VrGIAXye2Stv62Gvr3purO1djUx6LHAA6+NdJLZW06hG0XKQUR
cKgz0oSUucIqXtcAkWjg1N8V1fgLtbtHZNwS308hVjZMD8YmHNY5O+iygtP14IwOxTJZqhYq2Wgc
8bkluFg4yHEAx0OpboJ+snY+K+YTRsWMFOjF3QxGkm6Xrg2+44sZD9XoZt+DtMWzxEhiJ1vXeEzk
7OAJTH7hzG/uXKN/4tmtn+pqLg9CIqusM5kd62JNR8mEt8EdD8iydon7I5vpxLmQ7pWywn1SuTy1
UiM8jN70q3HBN9PIIs7k7Ngwas7II9bZ9wZvwnZ062oH4jJhsFJ1hIDZZPjW5FyDkoSIJsZyh8CU
zA5LP5tuLTaqLF6NMj6BEyPbpWMG7fbGmzsjybULnZ/TFnWTgQjmy8bo80EALc9ORvTF5BQbrEng
1eiFiytQsOHieT13PGSgNrIhoKHP8Vj5jiTquCC9AoHXPx95ts2IJwihFcMjE5TJfyqdQt5DOqxq
tAmIWiTqgT0Fb7CLfdAVROgO+XPnVT1uIHNJDlneWIzbE1XhOel5NS4sXGpM938MZWtvRTyO98gM
zO04clkk4VgCRdB6/tlKDtVd4jvzeegzKN39NE9YiLi0yNyePaG3Le92hXlM/ZdJ0EdGxx4z99LD
kH7NeUcMSTCFLc2YaOV0y7qje+9crhZrkzpkxJljJS5pHVZItgKJ0cewDsJCf9EWTHzn3DsQTsEp
oVkuNIKewaU32JDmSwSKbO0dRrLyQL1E/EOwfNNAbl79TOrbMjeIiC7erCUTm7osGlh/dPJG69zm
wioiMu9yggGzn3EXqCizZPZaqRwvE8CU7IYZ/YjeHLBDxKqLHUQVv+BJK/BUhDZDDadszmaIjdi3
x+vIDO0RJZ7xVDid/2lVbhYlBZH1SxUSfDokKbcx9kFrFxP2sKfpEzdePDeABHu6vr7vb8subZCw
ZMBPDDEf1HrXss73wLeD/I9bsiiMtoSjV45guRiwZ3N3nEyRkv+7mjzaYAHCHXv1A6b593pgSeGM
VfhDWd2Drx3MIl0BE8UO+m/ebysJgQ87yx5PTmkGeHnpuze9KXsW1I6zy43euKCCTvfBal6pxQKz
stGQEpJg9cCYnAfBfJvhK7pbDDHezFlI/Ok8kFVW42LRXc6t5VvDDisLqMDQ0RsxWcE2zPNhI011
mI2EHavd34QDpxZ72RmhGa2QgNJ+6gvHhf9HgmliTo9DAP2tCBgJNqvzh88WotPSB2NuyXkQY0xn
rQVTxLD6Ma8uIgF4YzusziIJRYtedrUbIQjpnnFsg1sM2CC1ADSjrm9PKPZxWBvyS7f+S5X5zW5B
BrAXnQRuN4cLmBekRmmtIYih1zobRftzTRGk3Bywm5bwW6a167T8+o6ltMBbyA9biznfT6uDamEM
fTRWV1UrYd7g1iYnNEGwbwR85qEAvGVVBedd630sqzurXn1aadF/WE1RXFwZo+qeibyObbgQBMSa
V66B7tCtNq+pKL5AO4R7LZePRK7hmb8NYfnsxjdxAwQZ3A5HP3Eq38F2TmAOe3UfF1a8TVdP2eQE
Iw93nBSeSOBKuF90nL+cPiv3pUvBMGrnrVIDrJyia1/LgL9qUbinJa33lxoctnwdwkuHQ3TjrwY3
IrHyh9Bq5En8tr4VCB4nHHFDFYuIwxRKJRyxtwCO+Nbp7acsI0JzTBg+5RpV5eBl5XfANxZwHox3
AyzTfT768xZbVL1no1Zd2c0C4JwXZzva8/cujWd2oJ6/mULew0SKBEzJNnjthLXcFzb4Rp6mITKM
1B80mZWF5O2PfZG/c9sXPUOdOnhufZc/a4v5CaTRySO1a8vmKnkYIKLdu32cv4NXfHI9b9piP711
rKY72kOQwG5Lc4mSKOaLZrbrvDClJDzPpbeY+2DnLLFn4XHxE37pkeyXZbVVZsShmNuksRi+6ZoR
G7/zxpJmczeaS38UiPuPvnaDj6noxDvElB+5jPu7RdhGvhvHdDzmsrfv3MobGYLnul7Rpf2InWxG
NDiGzLNdlytCVI+EtbiPCKk6seXUNCgxLGltXciZX52yA2e9URN+U/RZa4aB8g5Smi63TM0I/kiT
uwxbbKxeNCf2E8LPYYuO5howHfzWAdv9XiftuZzIBkDRBNCwTeyfUOdcxnCZ9QMHMl7+Bd5zsQEF
r09yWu2+WZFilNHurH+I1Rgsf1uEV7NwzOF5g3ehPJBncQ9O4RLTIvrRyONAH9ni5VzO3uj/jBO/
2qZW59+FvZu9wYF1bswhcyM89OXOzVglykYuDHNaZspNbzePynZURnsoultdWKS7iLjB2d7LAe+e
CmB+sjjAbL3arklmyffxaseGa2btJO8L1YhnHHJAKdUBKUD2xmlWvPGIG76VkxZPRd7HR5H72Um4
ExVv3Hrnth7J1sgQFkHKQwH9mljASC+jMYMsWlLSX6D+YgcR4FRkVoZncrfHbVpps9hop5YRxAPi
YgUO9n7R/ZsIluGny1b9GHQNtpA87++cJFUvje2qgvuvyfvIxiZSVC4uCKorpBCqr5qc9qGb8LJz
wm7pk4YwWkJpI6Ao5Tzuspz74RIGTlXtMHR4L1McLN63hPgmbBCB5skaDE7IjaiABcD4Z/LvFI53
69lF+j76E94t8kWeyqUm+gyugnFT1jp7jyu33hOsUTlRteiSiX8tIgBRSbBxiGoLgLhAPBCxjh8I
moRNWHG8Ill/AjMGPJIomu/1yk4wUh/ta78kF/WbrvAbtNBXY/XMoho1jfCtw7QSGfKVzTBXfRoR
31dupbGUrGCUdPfTynRgGaZU5C4scnIW1WTwmWQc1wuRwlZeHwdfJ/eWtOP5MfBz1dzphDC0KEy0
aL1iG0ADoVioGJGSg4QQ2GIR8JNyM1szOAu/nZwnUkV+53MOcxP4qsMClFYh0XFrmmepHWMLZ9Hc
wdqoVWR3Keco+kNN6eTZxz713DfCvNCoEiZKqBZOK2l+x1oQR8LI4+SajWPWsoMRKkf3l0yRZw0j
oj9Sczh9etVcAYDI44Ad51G3ZP5UQKcOi+ul0djPYHYnJU+KazIaeju7ypyY6tga/K9KNc4PUa8D
c5Uxrj7oSj53RRhn79gYhm0Faoopo7dK5paFSWUXBL8IT0qO3lBRgptsfLZtpvxXfDdil3mczjts
b8W+s7rlU1BYX6ZZovenP258KQ4Nf+15sdr+QcpMfku1Uz1Ok+meF5lNW6tyZOSmJqYaM63sXVKg
XsEFRXXQrrinAsKcUnlz6zhtFdm8x5eOKnLH5oIg9trMdwnPOopzkAfaUv1uKP0Ts94xamjcH/sk
C/eqENan62jnSHCT3MSszvAN4fn18eUdssQeI9WQ9mhnlcfP26XT9zKEFgKW4M7WafhT1HiweSfY
D4TFWsCaj61ZwhAehuSK3jnQGxM9Lcskr93LULu7lpUEuuRlpRbnGRLyuCITreQxHsMs/uio6Tdr
9tPRyGIbuzRPknrygBZDMuy2hjBm7M22vW9iB6V+6Bt3vb3Mj3JKjwOryhsN9J/lXW0rKnCj3JVz
mv6S0nNu4jjLOGjbhJgGgHFFx8E/SGK9y7TcLorgPYW6nYfOND+AUQ1vR52AeGLUeSy8zN2xpeLA
7Bo8S8K8DwLAUV3X6WY7rOAFn61w3QCmpbBrg9vCaBV8flJrzDJ2NjnOtndIJf7Gnjpw+1WWVu+G
7N7BZxQoroOD42pTkDU3/hSaB2uA3eM0E+XJ94f9CvtyP6BSwoA1443b4IuEabiUn25op7uRX4vA
KP2NWMFLmgTRvLSA3MpvXT6u1xuevN3QE3650ba9wzsLKDYL4zM2A/ezgJWyqRLhbamZTeKMap2X
OwVCYkgc3V6hHNRcLZ1/MEXhby3lZNcySYp75g9CRIMDkGc3wnW87XrqbVL6rKhdxz866OQpbNty
B29sObL7F7+mmhYtJ53+SGIuUeNGa+Ga95kISPWjT3V/9itwYwK04ZltSpSmszyx9Gp5ABvosP1q
fFiKNCEjrf1Ov0YpNteohZwlr071IMdimyAafmO5AJRwnG5s1AKvlFLPmdG2Wx/Q8SX1kCa0eqFw
bFJwjss6Zh8MFdXj8BGaLT6Z2d6kufVaGxx5+eg4e+kR/je5dvCWaoyK5Jex4BbBiEI1dp+XpnDZ
chfWpZ7Ta2bU7730Owjs6ZPyzC+bk3Q/zVRHdSJB8jXWu52aJbP12vnZwbKIRIIcWhrVq4Y++iVl
ZSzweQMPOgmckK2h5cC2xqseg7kXJBImuRn1Mog/RjGw8dDjiNMgnKfHFhoIK7MgZpvDAGLaux0C
TIp/xuVOqUEPDHb4WHNgoSe03cbj48X+wLog7Q3uhGrniUKdGYNvpiUDzjgnccRPJf2bAo3Y3eg5
DAlM7H+gBwug8cSclaRfBQifdoNI5S0useDEP/Cfijr4shLr0ckbDg9iuM7gP4vz7PJwheb4Iy7k
0B4KoyAWxFs3Ej6JE26pz0vmE4MmzFfFI2lbmsCABmudBcqakXYIcd03PRY9LnF0cQZXA72jQz6a
xZHgaTVOx7wBfDy2H0Cqz+ijxZaAFjY7iXETh+xelxJrK2iNszSBYJHV4+/8wivP0mX8B++g29aU
+vAjkM3GTntVyfhAaOtPUWVc8fHssvSvH1oHhgGDGf9UO4BhfKNPD/QuDBCXyribLOctM53u0scG
sGrlIW4u7fqQCpnssqYyj5oUm0i5Q3ci0lowuegb4kbIx0KQ+zCQ7X7MYyAQaTN/FAk7Z6uf7b1f
KJxqvf09dkfzaQrcAl07e3eE8M30y+388YmzD2CD5wJcFO1wVi3DKGHmWzM2SCtVgcGcJctwiYui
OIZefeP0ZbeNF9vBGZJNITttBOOsG0RanIFLsnJcGuLYZvnZmU3zvirRocNjJf8ByYJ9gzkXxmfj
VerOF6VxzHngKThGviYbK1dXv6BFwt6RpxFcSFYrTrKzq3n+Tp3FrZUAxScqILhrJju+Wfp0+GFk
3hfSg5m8wtTozi1j6IdFOzExcP5Ub2UmppdAu8O9ZaXOcrvqyskR9qvmwBS0AlzT23JF5nj71ZPv
s+rPdCTRHKktEgMJYAj5nCNi49ZE1YvBnIfBMYvH5zlxX6gQ3Kc2Thqoq3N/5D5ASKI6tnRh8DoF
EJ8Bp1pPCaGfW9JA7wKziz8rjROK2LYAs7KFTKGkSTcuk0VRcy1Z02/afkwv1BC93kNEb7DbZd5A
SiLnz8brhcwPSYygliFRSWgbszBqmgprc01zQ3k3NRJat9eoVyWd9tK2QQB+p/FDmIggBA4zia3b
mXPh3WtwAd+yixLPI3+BFwXtsLwNyME33MYxQyMG1OQ61sRw2IMET8/VQy6mnACrtHUG3kRKQkAZ
8Gx6NSRUTHieN6bV40lW/VoJccq8Eybmf2CdDri1h7w/yoBcVnDgLUVr4EAiSYxyxFph6yd3kD3D
J8GmbEMbFvBLGOFr+Vt4kUI7iuokTnTETG1+nAsE4GSZVdluIe2PwM+OxltbPKIpQSsZjbb8wuld
71gRPMwGZf2CofoskUtFrhxgjWdx+6CT0XrLcyrwCFUdznLlmvdduwbGIccKHjtX8TzlLGvuSxBj
b4aTDWc7bZnLrEnVN2o2+rdCGuKWpIv5YEl00TSvnf3QYed5DI2Y9kVhZ78YRmp9J1yqOPddMOLx
XiW62hq4S5uaY3VTuQHolKBLEaq4Xc5NOeENjIaJqeDGVqiPb5nw9zxPQmWXmH+s2YVPMLn80lW+
i3uV5EQpd/dL0kHv9GZp7bB/62ex+Mk5dzgq6zKdv0pZme+x2VGoLR55pUw6FEpzBG+bJM/at8Fz
m/1k8NRNGoeHGZdURLOT7UTS5QdpoDvZMBq9qFj7p3ES/Y4El+IqTVgeVPamuDYIrl+A4/bwPzXR
TSicnK2niD2xoWs9yKKVtwj9g2MFAHDXjYs84H50trYsuEoMhQw4wJfyjektCZpQUp8F9d1VNe20
H3qqf8aZPlMagzTcFOwD+cjQ8dllbBPZVTdDH/4wRpPoPrMCGZa6fWRgPb/B4OBu7RxbQNbaJ2JT
g3tcpPo0ze549gwfQT5AN0BzdB0DFeOWebM6d/CBb6D+FNfAC7/XgTZ3Y4zZKg/mz2Su0q3lkOAW
BzljRTOumJWp+RXYXbz3lZnupLXYO4ML/ZCOhLyMarZOpCQzs2mKerYYtC0RQi0zwh/kb3oXebkh
FvWeYfwgFy5djrPSeCR8kzVu4DfMgU3Cn6PatcbyUbuQB+aUh03urkISsrmKq+G30eSyvmHGalJp
NOneRJ6zCZvl1i0W/r2IHzpbz3cTuXMbayxew876Zicc1vjpdxly9ohJyWdYKwh1CQuPCUpB1Bml
iGoMMHvLLDCBORVwifxxCWDANo4LRwJrB1Tl5Q64mA11oH2TXZvfQ9k4xoZ1pLDqDyOg5Q9Dswax
YA7ZAsKJWKiQNbL1g4T9ukHK8VmFefswDe0Darty3ogm4NFuro1gWhp3ATBUCCAIK9taWFe8fj8d
wx9uGqtWpG9oBwvkgrCcTO9v/cSuPan0dZRSYxZu/4eD+v+2tiatjUXvf762fv2lQJH0f1hc//3P
/EOobP7N8W34OvzIf4fz/DsG1bchpDq+AL1i/l3F/O+La8f9G5JdhPIWAXrUDysp4N+kyo71Nx8/
JqMXcKi46Rz/vyNV/pP5ygpdyEGhzzvkRdYd+R+31jA0hoVYS4zWAf10labBBlW9vfmn7+Q/MKz+
i/3KM7HlkTXNNcty/M92g3gAV203SXwc8hqy9ChCGlgdNx81aJv7ygNEXcJsJxNwgc//16+9/l5/
9Jfx4uAOcTLxtfl82X/8iKlXltouiIBKnLApOK+6ibkeMurKRQzMA6b5TMJKhkyX2K90y5z90gY5
slQ5nh2VSD4384BCpaes39qt0Z6HokmRoOVrjVMSG4IpGFETR8LN0PnxY+WVU/T/8SF8RAXmatng
QvqTYUMoRwJTXVhyLCCdtQM4vTJIP6cAnF9aqCXb2Cx8zuAK47Qp9BoeDmXAbRKCfvssXAXSlr5v
mNLQCJI/CEB/gVlaQGXG3sFKZzKfq2zA31EveKqNChXcX3+Gf/Gc8Dsw2Aih7QZYKP5sAu2IMB1m
fwqPjGKnSIEbolNTM1q7/OuvX+lfjFnrK7HxR93hBi6SkD/+4nQC3brYCI+jnQiMvQTI917QnlVv
tw/CRS3916/3p5sIaMdqACOSiXXyupBar8B/kn5YZlfX4B15vSRTD5wo3WYZIL7/9av8B9+fIxCe
uDS9WBicP3kyQ8VxUU5GgP+LxEzUDF/SDrNj0QXPf/1CvwM6/0DyWj0QJimn3HhI0f58KOQJOpuJ
a/CIzZR0Xr+zCFLimplnfri5stcxTAp5CsZt8YhwIrjK0mPjgyD+MR3wJFeu2z6o2UNS6o2oqaS5
4jFHuKnHZM3nIPcHmTfX5suYQBXeouV3YAPkE7pkJ+FFtHQs0EcQ7zrL694mb8mOf/0h7d8e1j98
SgQpmCxd3/KpaUIXbdA//2orHx4KhdLHCWgiI5+GzXICDpNRVbFvio6m0W6+dKmMyC0gbHLx5sey
WsOK2InuGdEQkVRk7LZh9kStV4O/sors1kXK9uFPVfXG+m6nzMl6MsEgEHJLDvNWUXw9W6II9yl8
/Yg2SL+kSW1R9WfzAT6zmY/JB8dZcfR6171LBgtrWdY0F54u6bGSMfVu4mVHiK/ztnGzapciSTp0
dhM8q9jNT7nB3KA22xT4RBL/SLHPbCuQYSdHItCQZEG3m3HxnSv4qBJoIHxJOVqUro4cth7CYLJI
TQDEBbjo175j4oBva0Njb9y5wI9/zvO8qvrTnhlsbx/c2KFyzz3QlQstTUSF6Ty4qS2e5dBVb0Tu
FV/STBuURiKc2UYpVJubqRE2HUGqv/mkfkR+ZSmCxMPylM+5vi5t6N15JZ68PsjqcGNX2XTHyA4l
cV66n6LtdoYO4cXFxS+DrcENuicDfmJG1oevzlXFApHsxBZkcLgSLOrbJpbxxtJQl6jqmQ4ZJHvR
ZV7X7xNlYy63Nn5qGAPQX83KfndTb9pAmxCnpKiqqxPL+cUoi566lPyKW3MwYLTOY2rtBM8XWt3J
PoDqCE7D4tifCljwfc73xNpaDBDt/I5cVWcP35srYkTtObS2/dlg89sXqWVENkP/arNWdi80ogNV
MyBJgt5RaeomOU7zsE9T+8GKq4FIdjme0OnOm9nQfbBRqfXTVvzmDNfkw6zKmyx2U7AwYwH8uhyY
0BSEBFT9sFWC1tDKEUkkDlPYUCdPaGtusAd8pPgijmnfi8fYXOZdrrw3prfIFuqaaU2Xb43cC197
Nw72tlLsm/UwAf8uwk0zLnpbCZvQtrw1Nv2IrMuna+GIGsg0r34TOJvVP5CEB8arNfyvIGbcm868
GR3DLCucLQ4p0uLJwx65uJCzRDyGCIxLAg9/6ZShRko866C6zri46OWvvUHYoWJj+JnTVRG70Plk
oMyYvzBQ5/JuYTfAMdWZ7WWeTefEsr48mnYmjn7D7eIZhCUWRBUytxt2FvhnlsEp7I8+jbda5PUP
NTrJt5yUuJ+e383f7FFN54oxw6kYQ2I6E+lcYYoSA9HjAECnPJ4GdGd3xszEfihnlqMbdn+decL1
5S9tZLZetatEghbfWPSLM4p6b6/VvSjgoiIdcZB8o6nCbpIdTK+trxmTb+YEzBlIwgQRXw/EvGWe
bn8PDiOvGeaD4WFSajtR7ON8nL/GXk3NrZjRrMfMoLfLOKNOalC2SAvXY5bw5DAX0mIsMcgdE2Fr
xydWZ9/rrd2EySSyUjFf0LJ3b0genDuLG/V2zhicRUXco08UiCl+kRQ04WgStG1kwvxI2ZLtycDw
X39njNSubz4bgvqC5Ul6VxQT1clIydc0cN4JGSTvBEZc28J0I3VJC694LDF1fMtzu4gKsUwRXjZ9
b7gSQ0Zh2qfJaQsmY+Hw2vQd9hcmBz8XIxUkyjmcPYoP2UrKL69sCF5B+HicZ1ve2ukSn/0OQ+08
2fjAPJvxYN7UcheqkU8O9f5uze6M3MG2dhiQrJ3jOsnd4kvm5ay++DNWWBKIwviQrDabd1IMoTiM
Y89HMrw1ghFAebJFO+Du7DB170wOBvZNOCVkby2sf71yG/pDfKZWcbcy9kKkXKU6jx7Xq2kzqaAG
Hl8zkt93dmO15xxSKNhz17HYMFTtAfq7e2GRZzzOvADZ0CzTEe2zW4zcOXU/SJJnBg02pH8UPmHk
JGEMj0rg6FF+an5D20hsHJ4b5r/Nocst+n/qRfviagH0mUPBBMd4C0uX2SPau1NVgJYby5xIDztO
d009PDMpBRrf9xl8rcndIcBEFF6HmAHSZDwoOc7pga/fL34oJ2jTq+qqduRqZqqOcgdOdV8pESkb
B8Q1ZAMsOVnnDklkYDnpLRouXS2n34/3/zHY/lc6axdr6z9VQtFn//lvoLrbz+rX//5fr5lKMJP+
ATRr//0P/aNjxSbrePwrBM2/ObOUs//XW4v6GltriFGWytqmsv6HuTb8Gw0p2mchbM+jekT//A9z
LenMtkcBRj0ZWJblef+djtU3/wXywsszLuev5F2g3l7L8X8qt4PRa5oG0iQ9KxooCGBNwJMtdLnt
5pbgTnun6/hjrgMXAmqQpC+cdXgKyDy6EPg+3NoNWcOcAPbe9WMz3ilgMvfpnMiL8uryuakJtiXY
Mzi1cf8c8xQOtvPQfgoGdyqL2IYnL6Qj1K9Wj0FcVhPPmRHH6083rpsLkpfw6sza/awFCRrMalkq
2pKqb7N2D6+91xi/Cu3rFx54lf4VEiPn5+esc6ZbBtg7BYOBGLD8IvJCBgdvxKEKYgBIHCPkAWJP
b5kmp3RjPBuOCwcDZ8m4kygoNj6FK/qJFb7lW7a+NZVG7VKkwUdZlAG5r3SwfC2E6RwhxiRkjphs
NQuP8begPd/FwUTAhdkK1OBd8d2plvrCAwOIZ7A4kauc4pvKQU+4ZuxQ5nEklujPXsnmmR+rxjWp
MLvVcY+39R4BpvAJYcJ1JijA3jm2eYQD5HlJRZdCvoYhTjbk2PqvssMZyTBfG5DOFCZbKJ2xaPdx
uJJ5qCZ7667FJd3uDczbz6oNnM9BohLd0GfLdydxcG9AR37WLEz4ljnsEnYBofkcFoxqNrNFa5tk
PQ/TUq4imN4u6UZU05u3Hc7CVb/UsZKwZc3CL6B7ZD6dohyDnt7WxX5CXHgxFSGd29//WAIiBc3L
DtTbQL/g/zenFX/GtcF/XWVN722FhENs3Z5la+4EDE7dwcMuOToruzRNFjNKtBu+Il8k5wrQRPhK
QQn7VQWrBzVUjvlsmS4foxpGaBB+M2Cc7EP7ZBNC8ynxUHcHp8fUtFG6Wy4hGhs+Z2XSJCRmQQCC
s/CBfqcFoB9y8ktfLGV6Rl3IG5iINEjYaYGzINM3lu+EXeAhT+IRKL47K5u0Ng2RJ2IO61m38VhO
8b7r4TyeejlmzD7RFP3EU0sGAN4/NLx4sTK+8VaVhxIBUruFcg7UYoMPkv/A9oO/Xnvrhw+YLRDz
ZBV8g2rS/JulZfjjeIwyNNX2yPqCCRCzVGPrGJIPEeOmvQ+ykRjY9RU9fyj0fjQ8HsWlybXZjvRc
23xK4tcJwUKwtR0X04AzWeNyoFB1PgV1eLB1Et1cPKHke2tRp20Qz6pjkuWu85DkQ7gr7JbUn8zO
YIBgkLPtbWsB/NskdsnHmqn8rik6qDfm5rPx+vtdBiVd/rGcHbTjtunyZkl65iozQHHfhorUY0ID
OgJsOvhAA/srApSfMIwyhGrK9Se10NvyneSrAK0nLZwAiA6/o2r43+GcAWJh5t/BXGpovosGgjKR
GAwz/KnkhPLzVh2dSpjzPmtl+YUKhysy94z1mjJXFVniGkF1aFAZkqZoVnrYprLQW+0X/RT1IeUJ
vsnpUUyBvh/zWb6DuBsQ1DQD1uEyrUm6C51QXvuAjkS65BS6ltGi87CgGw4VZuLtrABmecKPL3k4
h6/8mCiLVkr4I5DBftmUqpPvbMk6FgW5pZ9GruJDjjJrj9GPAIUxcand++5HbsBRYFXPbVGGpX4K
PHSCvqW4sC01KT4MX8DVY07Ap0Mba+MpcXH+9gTe2ZEb1iyo+cpQVmhafVTQof+jlTkjMbNuAnvn
kBbK4dBhkE+S3Dnhdef7nQEOvirf5wQZWvL/fKua7tAcOTvigiy6yR6UE2Q/1l0VI7iTrdd8nzJI
0y0MtgSno6wfy7FBBjUWRJ5tfNq5F1YQJLVTTv9y/Mo+x8BIj/kYmD9L1/9N+tL+nsil/NqyBv9l
E8fwDKxwPskK38HMSHHbZMYLBFL1Sm/fRXgQ2YWXYUAhayIftLRRXk2aWf6drvciwNtfJ2L5lc0J
DnubXKUL2GgfZ1/u458AIma/ExPD8p0QS4yQTJ1pVMGRVi6hTe40rRWk7in8snjxr27S3ipPVb8A
yKS4OwNaVgyXLdbUXge3DKEezcogkZ5RpQ2aIRg781qylWkf6H4BQQjMAKOn98jUxwj/j7yBIYiz
xBji+3pUnCazj3PDkMMj+zR2MhPAxj7scCUgd7evsmDj8RJLu3klWlM9lZNzn7pj+zhb5LxNSWfS
pZr+U+2zSSGGpQ/uWvyjMNhLupokFd8Sa9IXJw6el8Ty3oYOiHVDYI06uFPdhNwfkrRGtIvrjY9N
XIYVuiXrvuswJ3ro+dwd8iZxnZoFiVHc9uIBLX6DcswXuzJXJiQfW2mkSgSi74gERcUIqnr6iKWu
yi1KNhcLZYU4/EgsWElUo+mUO4rsZhto0T9b2KXeMwtpBY9CMruH3GHVSjt5Gj3iaFlH5h+ax/uF
kKnhtrfEx7oDv5FMp9k9T1p6pHHF/RWTYx6NDCWfZnBXl1nn5kNhev0XQZrqYw6Tpv3UvSjHB6LX
44Q+YilOSVkgGmjVN2te4oc0NTHxQInCKmGyQOqhx5fg6UffU+ehs407pXpv11mAdJEDV79gXulr
u5q+CfpGr5T143uQeXGUVKl3H8rQvWM2QBxKURO9TZS8L299Iy5uRIyZKgKJbjwQ1ulGvjNMO74u
fzM6nj6z1Kw/mEBj02nkSzxIcS6Eeu15JO6QH7kEPYl3kxD7fMq7qzG7zrdpYpvHPTcr1ByduYuN
NL10CS2czfDhZvDVMRgY+RS+BbJNYPrf+I3UznVKe4dPGNDfpQ4hiIm0Bhbms3HrOVwqAiRHNQWA
KMv/w96ZNLeNJFH4rzjmTgX25TAdMdoXa7EkW9N9YUAkGwCxEYWFAH99f8VFTVCy7DZ4UEwMTt0m
VVUoVmVVZr58T30aklQ+9GOLDLeGk04ISWJMSE6qM5B+hUYVbdDg1vm6C+YZPxZ6P9LAEPQZMFcc
AgnVvzi+Yd05AG8fMmEADRVU6PI+ARzyiwYN7xKhGgFqCuTxV0vJyWcK8pGq3syOQCaYqKsmyQMF
OxDRTbl+nGqpGkI+Gk+p+JXVWOSLTWCgZNXvoJfVT+Exbx8VIeqrttClPi5/WFN4e40Fqs/DpgiL
4zJxv+ilUp/N0irgfzVjdkUlen4fmAlYBQqQ5yfwlMPFEswz9bJCdPML0HwcuaF1AVUDykUREVyl
iOEWM5PqW1AFBEzQ1yXnhK6a39T+15raAUALDVD0vNAvrVnSnDcK8HLDDZxToo38Doirzq3DJIEU
EkRtBU9lGwWIOlOqBNV8Y+anwBE4HWO4yQ4Bb8dnM2oUvoGfhFwKcasH6u/t06LJh1MCLCrlzdMi
PEZoBkU4CiWURqj3AVUwxSFCEKhEUJJ4BZuwQYAmaKurRhggATStgRACewpZB6JGRzb2ZjzNK+tP
Qp1zuI4tc3EeuGU8mtl2fu4Kd3gSy6sVJeyC0u6W2BHQiuyICLEFT00+AytZU9ZROdX1fKZqx8M2
RkOpRlg5sm3tKpom9c2icGb6V843WClTWFXrI7QckrtpGepHRWRSOp00vnUPyhRBGHPgyjKFKdeC
dG48R9Co+qcAlkCn1Qp3wchSo1ufQ9av4+YzkK3ihNo8t6EewyEVzjXgWoP2H8vb6v5/wQ6Co17o
BG+Hhvu7j17H/WI4R0uMmsbTPKraz2Zhmjd5GuSCQFk+OKaACFhIFpdXjZq3Z04aNneqWRaPwTwB
F5NfzZxFc5y7Wn6bIBs4QgmYWEmZi0u1Nodnwne+cVGbnxKSOa5tYXwhZEWtjFlHEdoWEJPG4BBg
nDwN3QXaPHNDgEclVwCqJdGsxX2lK7PnJkpi1I1cLaZOldLUQz0FsJfqFPJHVCxS7gNo/27gtovb
AeF9qM1noVk9k1onIN2mkQ2euTKG2lkywLhdDBt4PAPdvs/U+Gmmx01wlca5Pfysp4pXzt3ZdWNy
kYNkOq8uojloGviB2+gEKFcA8gUSNeUpTPgvMUcHIx3eZaABTs2QcD8MGiDznxYBJYWGLhzfvvO1
WX7H6XdRJpyg8x/kNHbzUOSgTMuQJO/UUeKn7+S9Ii5LBJ4BypkEAHE6QqpoibHF3Ny3QgY/kc9d
doRkDCcCkCVtNxvpCC7zeUxHYIWBzM4cqgSIznNX42cwvCJ0cLP8rOE+usDg/iCjK19jO3HjksvV
HReUu4GOJ3U6Xf9/NmhVG1whtSjTmfZozSELDPOw5SoRi/MMaU74zUub++BgnnCDf//V1V0aRtm7
oSmQIqu2juLOziTPp+ZgmA0FAo0qMPXDeu5XxrUd5dpjOi3woMiD8/K10UKLTvUVsXaRVrJ0wbdj
UtCN+oNs3W6yExp/k7Q6KqbACAxjdzw+hWmt5uPM2EIYF3Od8IMZBtrjorWLsSvUH6Zxd/OQrmLo
qI5oAAYUiEF3qUEhT2ihXyuy8xTlqM8U0SLvzGnsRYMyCY4RChgh42MYN37tVPqFIIk+RMIaAb3k
mlqZmOMOa35CgNsQt4mo1ZtkYC1ml0JT3W91ULondQQrzqGxSIfc1RMLnKmv6C5RHKNcPGjWYAgR
eBOJ87Cq8C0oWfBgK5+XDxBLUfK9KFWYv45SiyL9PxY4kXA/OA1euj80dRw8HwcUqUCy3bZOljxu
izF2Iv3TWdTpg45GmRQrlqB0MtgzmMqMpvns4xAP5IGp4FUT4f2yQF+mOHVRZEap3M8EZEkJr2Nk
M9U6E4EK52ChOtnvywBIYuXqzf/Dmz+jpYWihkae9vt4nKcWLZ3U7+BxVn+zjm6qinGgmLpmWwo/
IE7C39FNVVX5COStTq5vhbnZqGhJOA4xMCjXbcPC6LDpN3Ac5QACWPB+igPNHzdG7Z8EN3csOKbF
lCl+FNw0A0VSXe69rdAmqrkqtCT5/KZKxn4RgwN73pqNNyy3TGpv2c5XHezYTtHocTJr6MCZUv5I
zrFyvbC+CV1qzMbvd7U0BJ2+QHqYePFgCFyTc3AHsNCSfIvN2FDZ9hQ3y4sFkRFIzGTZbZSbfxTT
xndGAVRLpUIyVisQD8/gRg7TS0VXcj8ZZzk1Uz45cJQ4XftsKHzlDL70ahI6ClVRnythFLg9ijVb
XMSFOx2KR2dK/orjKRs+tnl5OtVC87IA63g3hQSdWuXpME/LIw1RCyqNBRkKrbZQ0EAAWHfxAOIk
D6IHrjB+LciIp7WdHTMIcnBUMIHrgNztUmD4v7ZNXF3FwxxaKZJs8RyF5hC94ysblehjEyzjjaPC
VPcHaUr4BQZ+QqCn1ASqiqah3wLkmy2upiV47oc5QSAjPdFrHzkoWBMpG2yG1HSLsDj737Ia6+yO
zFmcLK3Bl2oi2vtJUVHMtGFnkZ/eZWFaPlIxXYZl+0+/9H5D62TJKs0yyqq0lCOAayPdtinszq3N
8DKk5VDeayH2GHE1Jg+juxDaAD6Rp+jyIcsRZ4A8Vh8PXBeT45DjIMK2fFYdbk3R9ybh/fdbzeb7
3+m8gTfGoB6HRSnCUbk9BwR/yPF0TPFySK8nYaeJrUmwD0gyWUTn3dUkcNnangQkDQ8sTDQgyBXR
9qrDDzQJ6EZgQvtNgsMJQvJX3iqXz+4kKCZct4C+LJYIPX2gtyfTJ7NvvV7fQNdSB36lc66unu4a
cJCp1CVO1eV8lc+HmwXC+Ra/Wb9Z0A5wZbhT6+tFsGMObPOA6wps3VCVLJ/VqvtAa0FVFQl87DUL
GqzOEpFsrXe7NDDb9sDRDgzHhlxL3rU+5FpQjWW+utcssCNwb6lQ3xg9bpvbs0Dt8oHFdoDrh/sh
XX2gVcAFTl5ae70/RyOAbUQn9LVFePX+EL6ZVJdCubtcBavN94FmgaiIxLj3mgVDOcAJkDq6q6Wu
sLm2VwF2kW6ALJES29jND7YWDMxV31nQsYuOxXsC0V0+3Vkgxnkg6yAIf3y0raCD3uu9FWApBPVP
zGm10l8tAuuAwg3gOnily+fDHY6sT6P3IrAPjCVS2wEMIx+82u2tsFoEFptuiT8C1v3h1oJhab3v
iZhFDdwTuKzVb71jEGT44gVg9dPHwk9YzRfX6ygI4/HS6QonxVtu1/e+sHE3Xn++djWWIqr4VJ0v
Sh9s1ffkJTb0W8eXWJ58Wx9uTsJlP+s/X7/g6647fW3eavOP5+FEeCBXSZxLH3M9zBWE7j+x9+wl
3rYvRPiHnff3SP79r844t4zgDxouop12DaImvdsV4SJLuw27ko61f8ORlxZd3laCrGy/vi0feTHK
o2IHqLhyOXu3DbpGeONsM0q5+FZ+XP+W03QyKsNR1fGUbWKKm87exG++XBTeWx3Hk9ibe2KyaUkO
GzXfPUz2xrv/lP35iQhblTx38aEkF/awCkF7i3DcXYUrn6HvtJ9NMkCt3ZZxlvBM+7Z8zoyH4aYd
OeOIC8qEU9+GL8Ze0FmAa8ehd7so/qZZWGxGuBzy6jbau+l0jEBud5YlQHjT1a+v7ItsvtOs63DE
9x3w1WvbZKmauoeGGVk1itpNS8tJltePzT/8+lR8zqhUeTXNKBbu4Xi59sK0Yz1kEfEexnztifaV
IjpySnv4Ca+9ovBGQVVMyrKzptH1MfYxJeEoCH2vG9sl6riHHX4dchZAcdBZ2RqBzD1smOuwAKFT
hBChbZacXINggqWD0HffyNYzGDk2La2b3svAqZXfsSGk0R1309Wvb5ybybPwdm5PFMRae2m69rrn
1jrK0XeibybzT+deMiuCsHus0770cfbR/uVEFJN209byp4T8bk+NX0+acNQ5xoiFyijgPkb+O4i3
TUvrcctwQu+mEdcJPr2lMAdnqUR77KeDYy/a3ftU1OzhSnIbhN0ZN1gt/Ud9G8XcSLpejUboYQ9G
9lZM/N302TIy1Hem7yaQ7VAO5+24CZppaXsY932QjSefLopXZ5ttyRqrvqN/+KHU4YvX+2vu5KqD
1wsRYQ11D/7II7M/KYpJ50qxDnr1nZvvqoH0nJKvpRdsfjlpU9BmlXGZvsN9hwWm54DfK9fr2fST
x7mDDFN3a67jdX1n5GlSlJ/eHDxprD0svqewGGVU0XZubut0ZO+xfx9D9O6UvxVpeknOvI4/bTLx
b/1ZN7gmvzGKJ5747S8AAAD//w==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accent3"/>
              </a:solidFill>
            </a:defRPr>
          </a:pPr>
          <a:endParaRPr lang="en-US" sz="900" b="0" i="0" u="none" strike="noStrike" baseline="0">
            <a:solidFill>
              <a:schemeClr val="accent3"/>
            </a:solidFill>
            <a:latin typeface="Calibri" panose="020F0502020204030204"/>
          </a:endParaRPr>
        </a:p>
      </cx:txPr>
    </cx:legend>
  </cx:chart>
  <cx:spPr>
    <a:solidFill>
      <a:sysClr val="window" lastClr="FFFFFF"/>
    </a:solidFill>
    <a:ln>
      <a:noFill/>
    </a:ln>
  </cx:spPr>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
        </cx:txData>
      </cx:tx>
      <cx:txPr>
        <a:bodyPr spcFirstLastPara="1" vertOverflow="ellipsis" horzOverflow="overflow" wrap="square" lIns="0" tIns="0" rIns="0" bIns="0" anchor="ctr" anchorCtr="1"/>
        <a:lstStyle/>
        <a:p>
          <a:pPr algn="ctr" rtl="0">
            <a:defRPr>
              <a:latin typeface="Garamond" panose="02020404030301010803" pitchFamily="18" charset="0"/>
              <a:ea typeface="Garamond" panose="02020404030301010803" pitchFamily="18" charset="0"/>
              <a:cs typeface="Garamond" panose="02020404030301010803" pitchFamily="18" charset="0"/>
            </a:defRPr>
          </a:pPr>
          <a:endParaRPr lang="en-US" sz="1800" b="0" i="0" u="none" strike="noStrike" baseline="0">
            <a:solidFill>
              <a:schemeClr val="accent3"/>
            </a:solidFill>
            <a:latin typeface="Garamond" panose="02020404030301010803" pitchFamily="18" charset="0"/>
          </a:endParaRPr>
        </a:p>
      </cx:txPr>
    </cx:title>
    <cx:plotArea>
      <cx:plotAreaRegion>
        <cx:plotSurface>
          <cx:spPr>
            <a:noFill/>
            <a:ln>
              <a:noFill/>
            </a:ln>
            <a:effectLst>
              <a:glow rad="38100">
                <a:schemeClr val="accent1">
                  <a:alpha val="40000"/>
                </a:schemeClr>
              </a:glow>
            </a:effectLst>
          </cx:spPr>
        </cx:plotSurface>
        <cx:series layoutId="regionMap" uniqueId="{75BD8B5B-DC6E-47CF-B7E1-7278F47C5E5E}">
          <cx:tx>
            <cx:txData>
              <cx:f>_xlchart.v5.10</cx:f>
              <cx:v>Revenue Generated</cx:v>
            </cx:txData>
          </cx:tx>
          <cx:dataId val="0"/>
          <cx:layoutPr>
            <cx:regionLabelLayout val="showAll"/>
            <cx:geography cultureLanguage="en-US" cultureRegion="US" attribution="Powered by Bing">
              <cx:geoCache provider="{E9337A44-BEBE-4D9F-B70C-5C5E7DAFC167}">
                <cx:binary>1JtZbxtJsqj/SsPPt9S5L4PpAW5VkRQpiZIsyW37pSDLcu251V6//oa8ja12e04PDi7QhmGJLCYz
MyJj+yL9z4f5Hw/N4334ZW4b0/3jYf7tRdH37h+//to9FI/tfXfSlg/BdvZDf/Jg21/thw/lw+Ov
78P9VJr8V4Iw+/WhuA/94/ziX/+Eb8sf7bl9uO9La66Hx7C8fOyGpu9+8uyHj365f9+WJi27PpQP
Pf7txfHVi18eTV/2y+3iHn978d3zF7/8+vxb/jDjLw0sqh/ew1iqTygXjHGK9Mc/6sUvjTX558cR
xuJEcE6VVAo9/cFf5j7etzD++Djev7//8t6P1vNxNffv34fHroOtfPz573Hfrf3T1h7sYPonaeUg
uN9e3Jmyf3z/y01/3z92L34pO5t8+kBinzZwd/Nxx79+L+9//fPZGyCDZ+98o5LnAvtPj/6gkeT/
/kwCf1Ej8oRwJoTG+qPAnyT+vUb0icCSSMzwJ5V9mfuTRpL7pvxggyn/C618O/aZZp62+HfUzOUX
6fzobP5FzagTrRXniJEfawbxE86kooJ+mfSzSmxjw/17++XdHy3lx2aSfB35XB2wr7+hOi5f/kwG
f00djJ5oqoQSVHyyA/3MUAg64VxhTMGCPvnLT+q4DI+5NV/e+58r48u4Z6p42tPfUBXb859J4K+p
gqgTrjnH4rNH0s9UocgJU5Iyougny3lmIFuwj/K/CSNfBz7TydPm/oY62af/ezph7IQqjST5Eib+
ENkZRHZNpUL8y6yf7GP//r74L3zV52HPNPG0pb+jJv4XrYOhEwxaEIp9OvyIfO+olD7BDNwYV/yr
I/vWX+2bpjS2hOTnz7O+H4ePf498rpW/p30c3/xMBn/NZzEC4UMTRunnaA4+6ds8S/ITAU+4wOyT
VsSXuT9ZyfFx+uWNDfWXd//nceTfI59p5Wl7f0NbuT3+TAZ/TSuUnyhGtEafy40/2Io4oYwSJpj4
YSS5fTQGCo3Hx58t6cfG8s3QZ3p52uDfUC93tz8Twl/UC9SJhEopCP8k92c+DGN8IqQihIhndnLX
3xc/W8ePlfFp1DM9PG3ob6iH36F0+nPP/df0wOQJg4yWSyU/eSX5vdfCH5NewRRi+KOinuW+v993
BdCK/r/Jf78d+0wzT1v8O2pm/7+oGUinqNacis8k5XkOrE8kJZAl6x/nwL+X3YM1XflfFCbfDH2u
F9jg30AvP1/it7bz3Sf/OuviCEyHUfk1dnwb8bU+QfipetefIz77cjo+RfxnJOrPl/UnLu17kPXd
Tv4/Ya4/R2BfGWF6399vPsLFbyjYz59+3C7AzmdDf+bzPslu//63FwTzpxj/FVo+fcnnkZ+kflF2
3dNf58ov6vhm3ON91//2IlLqBIPHY5hQTjnmAr5yevz4SENgeuKbmECZY2zoC6Ce8Gtnh4+/QnIu
tYTClTBNhOTqK7y9ss0CoODr5j+//sUM7ZUtTd/99gJqKvfpU09r4kxzSTRlWEqskJISluEe7l+C
x4UP4/8zoF4V/Vjkez+b9QK1YdnRaorKmDV6wSnKi/AwD6N/cDhkh2/E8oO5gXz8YXYoIPDHIwxn
GPFns5ey9Lx2Xb1vK7teyLxetxHpyJCsrVMp7wt02nuO85jgPq9i7JeaxaMl5twyu9yt2eB9bPOO
5LGtRWhijRcbkjoj81UoWZ3KJXJvVleHlcRdVQ7rWVbKZdiYzpENxf16oWWOTmGVTRYvBZvr41iY
8VFWig6JL8t1Gwqqu7hiVLz00SKTUGXzTk3TfLVKWK+jxbKTI8sOls8gN2Fmcw7L5CbOJuPuqTbr
ViFdp2aI6H4ZlgrHomCRcafN4vIh3OBsHaKDmosJx0sEWno/5jQX20nLiLxCY5aXm3bI51DFdRHx
NwXSiy1jPem+OLM9rRWNp9a76coTORSxzNWUH1cdFWpr6wXnL6cciS1q6tazuMxbpLakG3uURgW4
nz1mT5/McaHl6znUzuyERyLOo7rksViKUCcZ7mSe4kmtVCW4Fjgvm7gVGZIi9iZ/165LfjnKxW4s
Wpsy7uTiXYxzr16vw9xHG4OneTMZL3eDWNMeXsUWjeGBV348SlWhLqlRTk8bQfH1WhKbTlk2vg7N
tVa62bWhRRe4U81O6a0Lo6qSsRH+LLTT1jPvrnxREzgwTqK4H0qbRIvOrkexzHe14/VrVCx1LBtT
JJQPNunLmj9GZq5eqq6fY69nnxod6W1hcLnvlaZvKt7V8VQUNi1lMPtSm/7AsuaUYNy8LJqqvh7n
3phYRrlMzOR3EZ7EobNmP+vlVpowhjjSunvHLc5etnUh05nScl/not2gqW/PJGq6TedYmxRr2dzZ
UZjYR7jY5bPVDyKvfROHLFRXYyT8fT5ijpPZLeioF7UWcV/h6GAKAaMWZNB16Nyym7xfX1HS3FaR
I2+EyF2eEFY/lETgV0KBUbGJsm3WZGyf1+0YCz+3+0Cnxyzr1P0613ijnUVLDD6hvw9rt6nWMpzi
YmJx7aazkRX8sqm7ZkvHlbaxyDN7GnJW763G4iKzEr+ZyaCOWJopi8nU73VVN3vDFp0MzHa33WDz
Szpxe1rTlp5NxTIfG9Wsp23u+LVzBT4Oo6tee1NUb0CjzW6eB3o22LU5HYxxx3plzYPLe5ElWcjl
oQx0vfK8H8/b3qu0LR0e48wp+XKp+raJo4iCW6FzeaGWQK/1ikQVT2ASp80csih2qiwPRuT0clBD
dz4GWv4+d2geY7pM6MLVY3nRF7W/HephuilL4Q60zs0mmkv9xrKlehVG0Z/13OpoMw+yOqBVrmSL
26K94khne7fO065fUZ6iSqtt8CP/wMfgd0yK5fe5InWa62hvatfue55dNMiaNBsKFE+azxts8j3R
7mzhaEkyTWNXs+H9YCYS09o0pyif59hwZ1OMu3EXSiO3pEBzus7Cv3MZH86Qn8ptw5YyEYZN15Xl
/ljUajm1YaDX2TItrwdbrg88w+M1CCS7nK0bfl/lgpORTW0KdtKntp2r06lh1c6xSvi4HWx958rQ
7EDtYC3R5Lda1u49jUS/W1U7d/GcIbqZxcxi34b+SuLRkGRsF5FUZCxi1XHyYSWFjmIksgGO8mJT
TfCtm+vxosjaKzf2+kgsyV8TBfa/cu23M12iMUZLiS5EWaML3df6GNmWXC/zOECg6BZ9bi1udrqZ
Lxs/uCbGYKiHYchZujLdtkk29fO+rHF+cLYyaa5EmYAwzMXg+1hLCq7GNOYsErw6EM/wjVhaThLU
R1nSebE8FNU0B9i0CmU8dFV12i2df1cLuZlRVR8gluhN5i15Ww1juW863uw8K8tbHKruZS57eST9
MsfR4NcmHpba33Vm0MeZy/Vi7Fx07+yAIKLh6WVTWp/HYD3y3EzT8n6JbLUkde75qTF8OkR5O+6y
Do/HsQ/0QBpitqr0/tXEeXc18yVLFzauO1rOxTVENvdG6MG+U72RH5ay7ptY9F0ea52/n+q52rBy
1XHWu+1k1XC2zB1PJUZ9EllYZ6KjLtorXFdTjLpmvHetwk0ykok2iVij6tAUzL/KBtNvrHR2r3hb
ZgkXVf3BMOy3nR797yo3QmyYzdt3NM/Vzvg5uxhwps5GZaK4mdewL7Q61UNNmnghEN/ihvXNsWdI
X1aq7S5qvPSbQXX24G3UX2R9JNKK1fw4NXKMo9EMvyvGRUycHrukY9Gs4o5Ow7XLO3W+Rnp5RHRo
hlgPJYRrDTI+a6Y+ui0KLt740oLrqSPLYttFlXly2k7E65plmx4peylrQ48lygy4pXFJa9UsOK4y
rnayh+4BnImppAnRkU9aXNhktlLd12h1W1TSezZ09iLKDb9Red7FGM30fOo1Aze4kKvFryjJM3Px
pMCDbyjerf2QjIspU115cjGovtrnxNI4FMZe2ZzQO6n6cTPLqNl6b/kuEpVxsRZ0owQEx6YuuzSy
1O2XFXXXkufsoS9C08e4d2s6TKO+wbxyW+M7skVFwLc8qwqWtJFjV3XmsyIm46yvm9zI3VRAkJ0Q
PVdZmEDtLUMXHuGLnon5oHuiNriM/GMxlKSPo2XSp1nv5amMKpd0TbckJlu6K7c27qpenD+tCkJO
Z8pNsvIySqZp1esuw0H+DrkAuZ2prpZ44FR+UG00vGmt4tusdq+5b+QmqvQ1JaGrYH+oh7xjUt0p
AZeXx1VfFYfJhWgvDOnKRDIRMgjafn0oXWh93JXZdCDDnHIL4W2pVQ5Hk3Xbtqr5VQa56RaXEKwH
UbNqO6kgq5T6FfKPGZzwkeaDTzsfXhkU2stxGplLshWxHcQ7sx3ZUKdNHy3bqMTylNhGXUosZ4gK
snwDCZrokqhSkIAs2engqizJi1qTWOKA6z1vcpzAyW6uJuvGIglsrngskYX0deyWTR3V00sRQhFP
K532Ai3msq/9BHZCRYDDoeV7SHyLDWM12dUI3IqSBJLpGTJVE/cETTcjavI7VNvmjhHIAVnerSzh
mfeXru712VoLyFZynu2RdEMb56iiKK4tRLBYjdm+HMawpnNOq0PVa+3jcsTlACmmtqetJ3n3SNtK
drqO637BysXUq/Ns5HU69yoceFP4axF19IKxsBy1DzjVdZknfe7nQ2GmdZND4v96FeqsYuI2F+WU
DqQ8mpJj2CU7tLXEb0vJSByWpkl8JjSkZK14jdeR7JdImnicCpr6Ieo2jq73oVjelTK6Vo6tsS5G
kTYrLuLOlyixvZl2iEYsqXmTzFAinJUNbjdNld+BWuh2WBRLdKeHlDaQ3ERNeTmykl50nL3BHcvi
eeyHOK/rJq1rFRLXNiCYdtJx0y4uVpS62EpmDnnh6dYMalvkZjmocrwsFkZe0WCaOlGzbRMkTNjC
pQqSrNG8Jlk90HS1Sx9b1u6kmqd4LSv6ZonIvKvK1SWtVjudcXk5i6JOnDD1hYHjdx91ckMkz27b
vhOnLsqWAycduijapkzHfGLJqgKEOaBw+9JJtV26fk1cl/FkYcMUO9vnRxM1ENnrarnkCDZXqWZT
rn0LdYILfSKc7OKfl4Z/LEuB21LKFKAPoQBxfF+WFhlbmnJQ5b5qOyjrollmh7Aq8NJ8qMUNQwYq
UsilDIRsVENH72u5/oO6FGrrZzWxIAIRgqgCOIb1s8nX0gSxrK7c49mGh7UK5tyVTXGpal2//PlU
AGieT0UxdNLwU/WrJH82VenLSsxFC1M54s0GbGRpYgNFPrQLfrYl/FRJf1/nC8ok0wAckMJCPAn8
mzq/tsvCQi3z/eCyZVuowPZimMmmAQZ05UNd6/NRF6gEpbf3TuZQUU9rXlxGWfFUXGcFrO7jkj4T
m89i/oQiHqxbQpkXn6+SfX35r1vbwt+PF53+/ebTTbR/v7r4coXtp5/aPdon+NI9/9DTar5+Fyzm
8+qemM13L/4AkP4EEX26EfcnD7/jR9/Rsu84EIND8FV3f6BHP2R2H/nR07jP9EiIE8hAqQCqDndJ
MENwbj7RI3AJJxwTaEdpyuFWlgJFf2ZIEsPNOSYBFxL1kS19BkoYbglRwgEoYbijpeGi1l8BShS6
kN+ctKcZ4YhpgSmRAq67kGcnrcFgL3iC+lrhrB/0hjjmoiZBbizXV5wPrr5nUeAd5BlLt7C0JzMv
ZkgtM/QuN4GZKLFkruVBF3wZ0lpHxp9Oum26i4a3LloA9czcveN1X802jYRoKprkUjL8KGe7DC+b
YpbNvVLcZQ9QYnpxhMDhHY1bXHawFOY4BOsCEtoJ8v6GA/KI7cTb9hwDtoAl522LlzPSUlN9iLoR
QnDyjUo/H/1vqRv0PL6TkUZP8A6uMeqna3MEPbmFb6xR4rYcClGox2yypvKnfcsadtqwsQvydO3y
vpyStXRwb65BWUmy7c+nf+YNmNBSUmD7jCoKmoLFfD//WlHVCSTK9xWuaV0mvQVKWUD+TyJfbcM8
5aFPQ9HnrIgjFq3OXE2MLh1JMFvFRA+9KAzwEWs9DfiouYKc8T/ICEPj5xshSVCYFpop8tR90ALu
6ny/SIP6Iqtmpx9QRbh4y2gYoxsias6jONA2J6fjpEYDsbJlgchYhqaTddysCHdJT80s76oJDdHN
fxLeR/V840yB/0KipMFoEJVMwY2u71eGkDdWlkW3A6yIim5D+Dwikg5wD2+wH7rVSCUS2+Vu6nTc
ZmuBRdzzvMftGRxkMMs8sbXrIeMnbDYVumoznuf2dPGT5/aYzVCWzlDqk7kjbzrvW59vQkWY8Zu2
GVbSJ8gi0UFVHjgqm3M6Y0vFlV5kLv22FmqM6GVmWuznizovRkhY6mEUJdYxqkB9p34VsmzTBrLx
YNKmGbkOiYxgWBHX7SThR95YRTzgv1qKt0SHYtjXH6U5FS2pOBSB8xK1m2kkURud2qfa/GjIAOLG
YHGDPNKu4fAFUUU85IxuXRHoDTmF1zKuu77Fa2y6oKGggfyhqYbYlpjCMoTvBcyP5hnUrasc/gVT
nUC+q1c+ZFvpR+r3EkW1IBunLEzZQtFKxwOaSAbZYzO3gOd3zeybqrmjdqg0PYoFiiu3rwSKyHjg
3RjgxC4lrdcJSOrSUZ8W9dDq8eVUzZKaNq6KXtksiYBXTaiNPQWPQq60105Om9wLxv0tX/S42luE
lhYEmeEaEXG0fTdZcVs6JFiewjkHX7Atgse4gkpQdeHDIonv1IGLeSJvMZ+XXh1ZO2Xu2mjAZWRT
mS5CTewQEnOfQItAebIxdgHdptNM1rDEKJqdHRMoFDFXELaXbDqvddd3axyaagKkFWkVomQuC9Tt
GGr66Z1Abb0UacYyB+iylaYNr433KhpiSBokSH9tw5PWvHE6F+eqLSU4BFM0AqA8gCQMmm8Zy0BB
i+kV/Ph0NJoSYtFbI5taoF3QQNpdPAYkWhyHLrcSlkHqmsRTHY36NvTBqhsHxLXZtiXPeVzk+XTD
l5JX6VJO2a5kIz0tEV33bZjH0yHk9qUMgiSz5sVRln2DEs/GcJvBoT5lObddDNZXvKuCa17nqLTp
rHHWxKqh/Q5rLJOJGH6mHHprazBHMzlxLqbSpZIVBWgXRWFbyZltKlsOl2vV9GgDJ7ffqAXRBk6s
aB8KN9wQzNxZYFF+1o5dv+Edm5OhY/npaAedFnpS19IVPqlLV74vO5+lTeHyeGHGpDzT/qBW0m6X
zGQhNo4z+Gq1mIRVAO0m+Mq9ipbiXZjtsCNLkb33um529YybNV50xbdFheyNY4KscZMj38URtfnd
NK/qvokMjzUd2ttJkXKDSI8OAEuKMrbAQM9Zz6Gb0XdwHaWS2TWKeNnHRU/1e9zmbISq0+GXI6mK
cusWE21w1/Yvu5H1+ydXkHbLPBxoFwCk83ZSSSZ1VqjX5Uj0sodYNzx0hFV4YwfXhyQv2wIgMlwh
e1Q9l20aZVE4tJpbnjLcV9fzSOuE89ae8a7HPslUYe9R1bnzWTJ01gn8dEIzXrqY5eN0mMMwXyBZ
j3vV2uhQ1rQgqQLv9x5PEzXAZRTUcT3kGm8m56dHH0VzQkq83nddZUmsMwcpxbp2cHKLBnhghIF9
pm4F4HUQQw58DWFXHhcswRG3bk5G4Fn0ABcXGncIsw9b4gZyxpt2jivKX/FpeUBDlh0ZBvMZu6FP
W+lRGedzO8qUL5ZumOzN0RUsvFncPG4rRIYeYM9Q13NdJ7LMuQP+R9n9OHgbA7c3OztPNCao7a9n
bOrrrlj6Oqn7Pr/zxeJfh9m1JPbzMENPJrgqrmB9NIYaI6vB8OZiTdispitNuqJJzDpW91Xr1jjK
UfsK7uz52LkRX2vL1N6RoJIhoOzASsPuOyXm82rFYYSijw0wadbH2QD4asmH/FyoCJpODa71fYig
X50q73wV86rzV2IS9RYcvRCJLld52mNbXDnb+g2dinBHrHG7cZjxrnKjuA80u5uqtbpbfbuqnXds
iSvf5o8LCGRX9HIYNhZY900fNM/iwPxyhuu8j1Exjnuha7fzUgMByAEt3EFjRr+js6O3Vcjsu3Ed
18cBDng6SksuWFbRHYJIkfrZ9zcttVHMJzOeR6Gr364A2ne0wRnwqGFlx2JBDGLZDB4JVaWKIGrX
4lQilkFFbKpdzYdw1y3A2qZqJAeMDN1WgnZvGpf5K20K6JQsjb5p27Ce5V3lAceBy40r0wK0YKg/
hIFNV6bLwm1Qij3QegTnQPwyHtnSgvF4Ol1i2g9nc5DTvpxmamM7KLPLALGlhRdPXSnwefs1Ctl5
lhXheiWquFPgt98Al+pvIeDnp2Bs8mLFEdR2qwDyD2TgvJwaTJO+1U2q1sVQOO/BbNc8sldAK4or
aDs5n2jXoG2YKv/G9QPL44yv63nQbDgDUFZDU7C1tzlddQs+u503VNbqFNs5T0a3sksFnctdMYTo
fZQRFdD5wtla6mRpZ0xUKgdgxeq85nSU/QbBZUXAj4122fkUufxKD7g5RkDOXjV9uIcxedz1JX7V
tZDBVNBZOc666kTMHS4P2jrydoiyYUqaAvo0yyiHu5KMo98VBNhQogssz1hmg9pq1Bp9aAvlUjt3
QH7GtphSpddWxtXa6zFuaWaONuoQPlsiL0HWAnhvOPd6nJotngOeoIfl20s6s+haGl26RMyhsJtC
u/Cyysux3YTGLsVZW9a2TKNg+LJbsgxH0B7uuvXlokwYit1T6oFS7Wf4nxQ1SM1OeX2ouYL2dYIl
ZC4Jb4dsvKiboeoSOuD8dpKAfhKLGnFu+inD6YQhRTzrBRf9K14WQHDAjwTXcwGJU26iPDsdeyGB
9MzIVLcrXTIyxsvskR4AduYe7RUrxmXnm8WEtBg7PtzoKK+hMUbyRoc4RFkOLCpier4paaSBohes
ubYLjtbdJOhSJUh6gs4nXc0mIcEjeSEbcKepBXidWrOWh4r00HDCsj4AA5276rJZIqFXCuI3aG5T
jEhbj3W8OMLby75nlerTRVSiIbEBPg72oNbOJwMG/r9heGiK87pwlYhb44CKrf3sTUzbZb0Rcqjq
U1Mybjf5xKeLuoTSOa3mcj6lOcMqFQoVMu5EFTA0YYOrYzdwuUCLcl5uRU/6Y8T1LJO2ylgXS1bT
kCxLLl5hF4X3o4bUhAa3kJ21GaabfCzIQKCrMRcRNJS7aOjEFMtCvFwiZiUkZoNayiYBT9rDByyK
yrl8ACfkldgUrnExzz2e9aZuAQkXG0cAy/ILHI1iuKuUabPTyisGfd/x7boW+V1euLe5dryKoUxo
b6ZJVpsM6PsOQfBA4CREuBFKrmfNQpojNDGH7VgEnTjvVhdLQZGL25a3NwAZRRoAccUA2ABahrFv
H/o8W7fSNk3sc2jEuBriSoLnbvLpCsGGXemuoDeShxDSclRPvQDo2QFLzsvpPbauvnbedGrTSZmf
Qxfc3gy+6/PNMOfAiYVpcxlH7az3ra18SoxvtrXP+I2pEXSc+8Ke1RmPLkg9szPixJjArQ6U1BrK
opSQbLw3gxx260ygGYQkBOEUQRcJmC4W9tjVCvrMLgCT1d2E5sTXeZUw0Y3Q/8BtBkShjcyw7wRs
brPYCN+sGfz/jox0jd9VUTGmAYwSmOpShyNEeQj+pQDQWVaQX8ASspcQdcrtILVIBuOKV1WZ47eC
o3kLHXO9s0i3W+lkdRVVKEB7UxSvkWnvmgpBJQWF21aSrHpjJ9LbmNP/x92ZNWeNbGv6F2mHptRw
2dI32BjbYIMLuMnAUKV5TmVK+vX9CFO94as+ELvPxYnoHTvKgScpp5VrvcNy1330bDm+ml1PLokc
lzJKi3r2X8neZdCZLU9+segU4bF3X1KWvNLGKb5UuRd+qmTmfKgcz7zWTusdRD90196arU9dWMMj
E9MWYPbSHm4DKT3yVoLjvgn9L37VUIitbbPf2os7PXc6sopjHRQFN1RDyXLdihZaZxqLRR1UvXUU
AqEpndSriSNJYBWluK37yX3O81xViVvzDklZh3mUVvzeFEqPPZGvvbhugtkND5TwukYIwfX9qgFK
/qOnasvTqvc8+xMXrxmT2IqMvrJUFRxUX1pXSILc90Hp5ycw/AoyAQnPvRBL+TzrqOd6oPI8dbN0
W2BJ4b2eRDTe9OvmoJbISGleL9PcP1euWgo4v5HEttD18kWplbPCoaROm3vh+V+1ifliXGp9bEvt
vUI7kUku12UjmQ+F/tP3Yi1PTZirGx8VDLUs6Yg61HKwxNEamjJL7U2LJzXV9cew10taTd50qG1r
sO9mEzqPiiovPklFDgfDavL6bEiqXhH9WnNchjwvSeViUk+EFlZ356EAstJZeqia1sYW/XHsdZsl
w9SziVI/b3L4TX3KdNAPcVOlZUWSNh73Mlanch0Kl5zaa+X2oZ3mtrp3O8dMB6oKWRHS4qCDKBid
OavXs2W7ZevfB7Mno6RyBijJ2g5Dq021FS2lPOHYrBb7tsq7oItTqu3F75N5y5tpTkMuXLEecod7
C+5accuvB0hQ2VQ3aySBdNJppgDr39QaGNNLlimb4/k0zv1QfMiyCt73YDgq8LQgdF47JnoZukCd
MnK19nrOZ6v5axqmRYtjXlVF0x7FsDrVo7RdK9Tn3ioL1R7G1bfs8k0JqMg6+FY3FbD/M9II1BvL
yPD/bKw4tJnHqWzXQ9zni/ggKHHzRwRvQfDJ6gPwA1XHwAyW68ilv0HGbFMJC+I4lTDncAu/Zr60
l+AcNtbGeRucKS4+zr3JrTxpI7NuFpWtLE3AFUE4Vk9zDqAQvVYklMsdog979dM5m+ahOm+F7bJa
XHllVz57EeRxcxC1mtf2xpsZ3pZgM3bdKQ3E5DXy0VOiL4Jj0A154b2y53lYO3nwCkWOQ+2QDae+
j0risaW6A8xVduvmVA1IYGIi5hqjxlKRfy5U2Kxrf8p97XpDkbZkI7Xxj1m7+EV97I3xuxjsoO3g
xkn9oqO06kDqRGkZ93Pi+EPsH8N18/zz6I7NUx/N9Xtr6yaVuB2AdOLPnJ2jE+TNV7utyLJmAY1c
HbtgivODHt02XJLNHdRbQMR5PZZq6l/FRabhQ4W+8oa5eN3Z0ksrN5hvS2ddGzi7Rl0rHdtnDxT5
sYwXE14PpHBh4rX96idLa6r2PCrbTdUS9QbCz9bV136zZUVo9RuJxiny54PytvVhKix0aJmx6iMZ
KBWiLHshzmPgq+Ygm2h5tja5wNU5mRmch6hCKHbATd9+Ge04HNEQakqDdrM01chYOvmRdGKcruZc
VPprhsIAxIWM2oXHrvLsBHarpXVqZieK38/uELeptP2uO/qrPV05Uxd+rHXtA1iG0s26FECxEFSo
4TrdNVFgzwfXFrP6MG1mzFicXjZ52jox/Gs7O+6N7wNu3SGA9JvEH8jDb5d+9pfEeFV4DKugRhoy
dcm0zSId+0jf9c06pO46T4eoRUkDE67y82ajQ9nCJbMSb4mGq6GvhzKdAcyet1KP7A0Zv50tu2Oc
yBcCp1/erCz2wY9lFB/LuTN/wmOTFFRln722CMPTJ4pLk78Ny2bcsy7PLa7IYIJXox+K4pkQ6aE0
1X750BlP3i6NlX3NRmdnSc22XCkpZ5CRbSuWpC9s8z5axPzGjHXOEIC2h8SETUc0DZs8WSoRPzjA
hyHaiM5cI4Lyi4PxsuIP4/lwC6Ka/KvWL8t0MKN4HGTWnZTb2h+CcXLQ+izbASHE9uh707YmfiRW
5GuuWxzcGZkkFUrbT0lc6FhfZ8HYEebbDWlTJlExRiauYeBHquG0b8PVPbm7hzGxPciGQ6Y9Tei1
GgkKgzoRhZOXTQNJQbtOtwhx5teZ6+joYIusD0+lqvt3ZgmVc1pVyygb5ESf/DGPsqQhAb8frD3j
nSI/gsC31hW9aSVjk7TVUOQHLnQ0OTVwyZutAQFItqDvg2Olt3I9eHZTHLdh4WcyRCXX2WI3/UF7
/V9mytujK6clNUqsH0Oihb5B3Dj2h3rQ0cMkRmhtZQkxUBAUoECN2916tXRvoryuwucYVrlJRkfG
N5aVu89wt9WrxeqnN14zlalTRO7noVVzi+42jNe0EFMJ3mz8YkV3spZTUo+Rksc5L6Ka+Dt69U3p
uKs4qcCIJzjIfrkDuapQu/hdsyZ13zgfkWRma9IgTL7rZDzZx9CIlaIgdkeuTGmL5tg4Zf6uEsto
Uu5Nsjry80PujUO0z1twbzwDDO25nbyL6sb7MKwj+gg91x+9qek+jKrrEtwpYI+KYxPFmWbL1+PH
zDJ2Rm61WAhNN+d2nLcmncBdPrXZbF2PJYf6MBZVeK9m1b1SYmhSKvLqNbhAeGVJO3oCMS5CtkEW
PPfuhkTOt6cHPa7udTV1yk1LHZk9W7ObaxG3QDzhNEVXk5e3wQHlCIlTU8TLuRWurh9g0IrDCLh1
GNnqfjqgcj2Svjg37drlaFmM8yGX6/IhlspJ+mm2D9kmqmMT1fIvKDH74AtfvY9I98+OL53nLtO7
aFauAu6diXM968PY+NHtMljFGUkepy6aP3dNp970s73KJFKd7XAOtjcxwmEyGgehAvfB2FJmTN4B
8vsGFM16bQZ3/KME7DhEC4XKgHB9S5bc6Z6sqPYfy9xDEeuD6l/3feuILilNXXnel3UG/R+PVQ8e
ND5zQSFfPcSRJ9fwAxVt1/QPoz91vrhH8jMQ5acoigdorAFONE+I6mUzwDWUvdfd++s6xchl3WWB
WPA6e1H5tT3nTbldR7Jc1XtZLEZ8Ea3fVVdlFzXKT6U/ov47RFr4ZiR4VXHwKWwaS12XsVME9kGr
wdlIGyOUiemIIN1erud1AcVMAljOk++3JvoUtK0iqAx9VS81cUzktjiQ57UNKOkaZNlxGPys09dL
RRpfnpYVfpRDA8Hvi2TVed/9ae9S9OkQAOuHGSJis1Z5jiQkqyDu+gy5tpuyBwdokKzMNnt4q71I
UcIU3oJk6KmLjNTlwWwiou5zA4SB5V1ZdohzD5NByO8c7d6b0TPO1aadNeG39MWams4nJUu2Picy
XEk4zjJOQaz3kfhBZiPVzrNFh8Mfs5VtrkgKGVV8DVdLGCw3lpoomG/KdZJ1kC52HIX6N9zmz9Qq
rGEIoQl1CDGHr8DeSfMfqVWgskjZyGr+bLp+JzR0IXrKHpRl4+RTnub+PKZK24vlpnlRQtH95gV+
Vo/sL4AVAD8bxipYQkihn1+gECtym6xAe/XyAg37hP3XVDGOijMCvKn+jVhmJ0L/TUf6oe3tShnI
9t35uxP4Pz9xyQvLzUfP+hpY485DZts3HrCOfMXI21GR51bClgrv1f8RJvyexd6fi6CEi1DYLgft
8rn9vHZhZ3nR12yFnQ9IvPp6+pD7lGaoR+CAivtW0rEIliHvXDf4zbCxp10Me19jCOLYF/g4wwt+
OBO6sOwl975aYR0OXiqMHYjPSA44kN1WhPVdAcbv3HrVsM6P1WTbqOaROdVMyq8n4uclZwGEy4LT
ugPAjdnwLhZABYVdrlUrv8h4a8V47oa+kevRks0eZNZo3IPMrx/5z8HT4AhPscA6Yu/emZ/XPA9z
WZerPX71A4Me4rQ6weZUJzEayKhjEUnouHFm1lE4BpyZT2j69RgfddHZvfnNRnAuNB9MQGzvJmdo
Hg/hSXTxNlm8lSLulfWcFyM10hXRdJcONEuX0x1pNqWPrLBoQM77ZEFJx1uJws7nx6YPEDK3Fkj0
Y4xenuIcBnx0HxpdtNPzr+dsP3k/nhNsqMQD2xdOiNrFCy5Dg5Eg0sO2PC8QkGwCe65sJsuGcYGa
XkaPGrB3q52uBmbt9g8FBp3/dLLoUIXK1LODGHUb+uOL14DJndQ6Bd1zWwsLtUuJzgMSWq82dfSN
JwUKGcrlsfrclALlHYl7MzriKrJKC7B0yNGl7BqZNeen2mKr9Q1ac9iW3wkwLveYs09SiMUsclnh
f2jGFg//Eu4l73mSbgDXv9dr9QyjoIq+Tc2wDrycFTaarwH6Nt16iKpttR5N38vrKYaGztJmo7q4
adCPKZm0MSJ/lVIXWvVD0MQZaZPrxQu3lWuVq9NinYhrfmsF2QAI8uv1v1CUEKkCyqwgDmz8yAH9
Xy4iBjuzHXSr+08hNCRMdm/D6A8JtQY5Z+ps4a5/IJ/YVRQ1eBxfm7+Fkx5dOl9ajPKC4TQb7/cH
2r+M4lyyyLYEen4uDQLJxbaAEZyoErr+Uz9yimDOQDX9W9fJvfXGm+aV6YgB07anhmxgDZM5H82Q
pwR8EzxkwyatKzK0cnsadyj6LiqCXUq1+Lqp43M1i315uglIC7x9h7ce+rGstqetDip4Hbuud3lP
weyzQF0b53zSQ9W3PWHjWFg7T5AWSUpJO1PRoQebmE6g7vvaVaDASLGGb4+Powy9dxJ1S8mv6NBu
8OaF1e4qKtWLpvq8TEE79KdYj46m5uo29XocK/jwum5Gl0w5k81ylfnIkD62USv9J0p6h00WYhoo
/9KobxBz/XpvXIZwZj8E3iJlwHMjvEuxEVlkmzlwX582B8UpuLaL4nlKTFd29bU3D4ZA8esnXkYj
NyQWuRCz6Pe4uy+fOI32lJvGMx89inM2o5n9Pfy5aJjYfoEe0DxBXoKXwMnM2DNuwxeJxq9fYzeV
/hQVEdgGZCTobV3b9f8htd086AP4neap8dtGeYnqZmH9Cdg0EI1ySl3nOMqwK97oKcqIOH0uuuyY
RcrVXYKj1NRARG423NQyCh4Xb6yjNZmME+gHFVkoSgexLd0NmwgsvIRK3Rl9GTj7YSfz1Q+dxufh
XcuyUvvJ11hj72nbEPYr9qbRW/T51yN2LuIaMusIde8+akbroZ78+e6sAom0fJjC93pubeR+kBou
cj+97fvWJ8nyr3LHwNSALMQ7FpupbxpAi+JhPxVzic7oUS7BvqXdoUAzc1X0lEiEyGGDQjwNte5J
vTexIrw9yN2cCUe/Rg2nM3QGjtGvh+T+rJVDJi0ihHLI4AQr6Dj2RdI5oFfacDG57yOVe5wt1Wf7
CyjLm/ej++0c0ztm5d1kvuxHnFi5h5SxR/z72codBI8ORiE+1Q3VVH2u4zL0r+CM93kYVtiBOzks
fFeRe/sQ16wJplNlhaN36qNRe1O6cl8w3N8M7eeEfh9a7NCIy+Go2ALH9MXQFARLWM+4fT1qUqZf
jQNba6u3ovui7KiCB1hVh+0xdNv9fmyszmFBlqCps/W4NQEOglPsWbN5T5Y6Mh0wZx67DwMj0aQt
rJgt5pu636PbTNi8KlzKAvBEMhIeWChp8y/UqA5TgVSGqVAqBG5NBRwtRyKP3ZJ/vczPHgqrz7+e
hIszGpEukF2FLhJxmiz+I9V1zOYHazBY73QTdkSHl/QWx8aiqxQNLvXOby5/9+I62h/peyT2NtcS
OrVLiapddqSQ/RLi13TYIVAYig3F3c/8+GXvd+IojQWbngS1h/rtqtayJWUh6DFLZlxqzH7BRDEN
/+FHBAMOpH6AIue7gPs4+Gppuai+L1s2mJapXOqo5axwivblyKplXwjA/r2gjdcSeZ4N6MCbCFiB
7akKYF5/p87144t8lsHvlwBBwsGh/8+KinRwQjADLwyQHuAMV3PlYewxtizvUF5hVjkO+Rj0URK7
blzmyTgOxfDKrmdvEUlPtmPdjFlj+bfgtaEH7IhC4gtiJfvKyNkPDlXYdvVXv6y38aHpgoaWrRBY
5t7XGMG2Q1S2sehRuHn+NJ+MESC345DLpUuCxm6c1549OvEBCD920nJRM56mDuR2KxPc6xiF0gz7
JIdBb6PBUbBYosS+hK9y9h+DWq0+1NXizGY+97HJHUn+JjOA9hxZZZ2GW222DQEwW7EHhliBLeGg
yuCksctDOjZ4Ut6ZoHOLp9mvM9gIX7lOulKfdiueYDXFh7hwTZVm8BFXlMnqMHS2wX4ft7Z9doyT
u6fMmqLcPvZV1/jvV6GzynofA8Us7xa0serWmlRrPXBjhPNXMQbB+H4LddZ2yJM6J5/exstWV2dZ
oAM/bQiami6Jq85z8zSETxuiZ6eBSP+au+gklwNbZR3+jGdlDBxrbSanBGZuBxEdqANEHZxlAzl5
h1bQqqozFBvscP5nHrWeYpYXx8M0cbt5nWZLo5Ka+vwtrVVUYB/b1u/78HqOZZHXr1uxVAh2S50p
o18bgX2/OEnknbN4kC3cy/XObmbRib0SeMgQ9LbzTfUUFTiFMssPQK1yOQLaXptssvLibIqG2wY6
HI5mPei+mMWHzpohiK7ZHAZHqgFpRYk992RdcaJWL1qC+9oNQz6ol09aRVHzNZt2EDwO3sYfnrd5
iF39qgxGGMYrZ7GsMEzXUlRzeEaZ7GCfFr7e70XUuwXDyTzBpfJ5kStdZdJS5LHI7lfTmz58U0oL
rO4UVp7l9tfVvMaRvg/QyhVxMuAtJXCFoxJ59RRmUlob7EU9MVPWOhCyb4naQy5uLE+OYf3awRvj
1G/K0kAsHNHkmik7/i0R9tz9lVYNcuke6VGxFsPBRrMwRodWIWxsP7gZbNMA8lnHEC9ZNAzpSB3M
zLrRXHCDpPBU+y/h/UlZkoEeABTpfj4x+hQTeusFpzI3+4x5tar40E25sh7bJtxDvq9VFoVpbFTH
Btjg64KzimlHECf9y1Bz5JZM31DukBF3yYTLOqlzhyKTJgP78ji9n7viD6de9nlu/bgEvLNma2Qp
rBZJlv8napGYimMsCjKt1ETOGg5pEeVitlhBfx7mJ1W2c9EyX1a+dWivNt9ZbqMy3F+5YKV7xDHs
LJ7g8aXhWVq4wtUhGK195WE5+VwdI11UB63pCYgYQEWD4R00zX8Y4/fxjKPnDc9YE3I+J9AeB4+V
8LGjp76JAYCSPkTnbh+/7x65TTv6GpbWPjgo8G+TMbNrxvR7jhsLzNz8y5tEdevZxWg9fp9q6+Xb
/57kl+8DKXCr29BFQhamTotq47nCjF+M56L1VgY9uBudstFbwPzYjxTgWRcn4mWhug1wFqRUrWiJ
r2HQVkBZp0IDFdzH+NiZJe02Nd+CW9jhrYA5pI6Tyl73pDfD+s0nAVvtAbrj2wx2PSeIuPYyptwt
qNHSvmsD41wBVu/Vuf2ytC/bA4VmzfwEMCh8EGG9D36hvwb7NHOg90gk/Dzgk2uHmip/v1kF4iF0
3Lm3T+/LRtrmdeYtGeT+W5xihBqkNgvpVQDPm++v/jKh1oaHdqRfr9f5WGRt0VblNZBsuPTnbEe0
7KMpYO706xeRfT8Z1rfQSNOfnSBr2T5IK5p98KMm2b2fcGnsv9DV+wdfZxEf6tbej0Ozif392znI
cvN+rrM6K05thhHhEaujQ2OPalpDR914L3ulKKdYhefvU44GY+R1lhc1PjdAx8PLvqi457WDgtF+
T+ZWRvrQD5Zqi9SeMsnDRZmjUkCp0oNt1gAGQDYvevSwg97CkcH9yueqdQ7K6FSRLC7rK9q51Et3
pfzOpg1AHfs1fTDklAEbIhSf+f4c3QYfSBpFfdcMM/9dcUUEn4RtHKCiAddTfafRXgAKGBrC8JM5
iP1T0MqFKkCu27730ZcEO37vwXigRB/zeo6OdcMV2xwXq4Wzgtrhqlo+ovIviTd4LrqquvpuvIEM
zMfyNOc19e6X1Z/oDHnVlznTcfa+nZmho28Gy44wU9L2I486o96jIM1NcIV8Zx/6EmcTU+Qhl6sY
UZWZSRyDzd6F/Aoyja85S7/vGvCqfYu/4KfRVBl+2pndfbyqKFw+jGxwvn8ogEKtpKg3cOXYd6s2
xoRerEFz60HG8R0BSg02tRbzBKL2ArJsjqgxb8wtFg73OpPDxu+gL8YOvUnKclDDQfgVeCkuCkrf
pqF2alNVA0yIG3jQ/Twp3xTYlbIqUoRKL5DwdXe0XYiZZmq9ffLmwtuhAneOaGTzpqzhCCGe1ppR
fjSkZ9J6ZeQ0jsVd7JU7SIk9hPATVtILECYAY63yuMgSFf4pML2opwPQhRP46OMpcD/5GY2bkAJx
V7P4m+VvjAp9235tNELuc446wmHzvcxkqRBm3XkFnn/9Cr6lkeHbapuN9TiSTIMqbEh5gk/EW/aX
ZfqNGSh9ex8DJg06v5woL3eUqkY3smMBcdOZ/lMQr/ngPPtLHdR3AT7cFc2YixbD+gt5cLlISKTY
q0Uy1eDfVhrVTjg+gUiaSr2zs6HMMvwcq5cvDyYktxm+xrrQA3YjiUEFDweGoSZOLXebqqfNn12/
S2ZuB3Q1ynE6csowFOh1Z3Z5U8a09OCTKHOS0ODhWw7fR/KylkOP2lug9qdtB8P65un5bjqKUViy
68j+98NbTM3+HWhHmTNZfnMOCce2+A4kbvs3Sg90ojlSue/cRlHLnqOckS3Kuw2LeX9EyLbTfbzV
/pXvW/a7mUiE+5de8PA9nFpZOi70hAkTxx3t6M2ch5npEmO3oOf+usnYvTZDu5/yzNp2OHDCUccH
fPJEC6w37G/fhn+4A7fc35yOSfwoTbf2B4kx5kqDMGWxXyq2tihpGoUcHJHG2+olYKHz3X/zEDk7
GI3RegchpzEYff/QZM3QyQTZNyIlmlTsTJYy+B31q8LN9jQu9xeeEep6f63524Gzuop7BOH2N7dO
7+6GzAOKqH1PhnJzqyIR+QTbeMzLejdUvUwIOPAe9Koo2F1Y/uRY5U3uenUY/Qb4uijowXKID+xg
dBBwdf+AlXMFhwBe7T7mXRfw1mGWLZwG0xFmB8vfT1D9wpnpYtjf/de19I6j/sAC7I+HnkOb+dL/
+xJnxUbSWWYKgapeQmMJBrzPP+xOTVvVXxFkF0ATp8nGCMGzgKz4b7CX9T/YPE1UDYhinPbvPWJX
S9elQy99/54Wb/uOj4N8X9S5KFnhDrki5+R7cPz1u/wMIQgb1zf/h5MMQo+2qJ7787tI7bnAt2X2
uDOnwaeCrmqEaDQFoXfcOlLn383zPx+IRRLgIIjoUsdaX4DtVT7aTt3Y8uFFaJdV3PjX4Tc74feT
/esBOjts9++F3UcIdmuLECOB60BHXTxwqUs/a1UdPHyPGAZdPEdpRawuxGnxpwgHTi+38e1s0K8f
mrnd4/k3W6lF3wsuot+80c87nTeilIpiLi/cKHDzl7TYGtuWCVdveKhfDpUhr+OMLzPak+FURLpg
CSCkV05m7HE5kFpY+f4iiBSGeUv1QGV/ErhWBFc5oWXFHtkPfDvApHTuitWjnkzNC5/Vv4TZXw/i
chlZON/2bJoUAsk60SXLyr07KHex9F0+VXtk2r4lQv0k2vntakWzT+PuX52Z/9vzhM1C7v8LguAC
nA0XshE3sue779feQq+MMrE7ImuHl7DI/iNoTdhA/g6tmzkY+IzpeX5Bu3jYKZxWFyXXzW41JUne
VyOsas5FOw17HP/1AH+OP+CzMfSTzwnEue+DaF7gmYhFl2JEfHMVttZYiRQFSeh9CkYOzO+O4D8f
xdIhQqCRO5V+eDm2RrrNOmdBdvWSitB3ZSc1F3fYheDfRvUfdXP4r5ow/NiD4b/V8uF/rpvDT11q
f+zm4CA++GH9/9HO4X/BkHUte/LfDURffuR7JwfHpocr2wDMJYSK4KL4u5MDf8nI/xf6huAlpMGM
ErL/bgca/ovNagP689cQ9q/wDtjGv7UHpcsDZmvUqB7hnuDznzRzAKy8CKpxROnoxLALNu/zj6Da
DOE0LVVgwBd6qIAAvSM99dokEkFn39CXKIKwK4dQbfO5ooBu7D+wBSMfqtq+md65ja+2MSFEAtTU
I+5cU6ahhv6LHosAWWUAG1y2hTOnvVnwSfiQzg3a5Hi9Ki1jLNSuXM+Nvkas3EwaSSMyQtXftvVK
0zatiwhlZtS3r+lVtbzqrEbb12URrLerL+W70ht66ufggzV1+mw6He64J9gkfa5e01qmODflMjuJ
EJX7Lg+KrU2LnNw8iRuDhg1aIz5SFQ/mUI9bBvhaB8vDhtb8s9276ItpuapvETKgwXdzZWa8NHNB
XyEvs+tzu2gaiGn4sIOIu+I6aLIhvItjpct0Wm3AdMtCXxj0qzqrsdIzDYUAX/PGr656OZpTuY3h
hkK35RejXpVL2mip710h24/KrM6DoQuDPneqBC+cJp0lGf6kJZ2ydUumqhkPpRj0B8q89UluXRik
Yzb0y/XSkX+hjQY4hImzZ/cDWpIBpNKpz5MbjDitKn2kd+TgJJMzvjbArbtPGts7bEHeJ0VlxHUg
p/CJrlzLa1eZeDoXJWjIKad4qBPNVj/APa322yGojq6y2ubsqVqmAb2nsN+VKiTZL0srFRq3bILU
ZewO9ozADfNPc0XWm9NXStMiyTXGHI0qu5SWDzo7ra6ymeis70XqTLX5K5SF/XkjnzlVgtN4qmQx
Hknh18/N3kT3BConznO39I9OO+Y34MD1h44+CImEVTZpb2UK8iLP7IM7hvfUnSM9pnJ5xNwH2IbS
zWHTOIujj1lGG6RV4yHKwzG+X8SAE1WOczoj2HuVx3IJk85rKiB2D2evyOf6q11a3TWJl3utGmzQ
tHSRnzgNmGyBV+Nn2dAxK6Hnkq7OmRrcd5K+R9dmbGjhWCNXTeJWTo8Icr/YRlgHTevPAzIW5Lac
gOK6CxHIUxstOk6zIHJeN0Htv6pyEX0k5XDPesoDmYhpc5yD0HTymdzG8g6THN5hPR/vhsjenmvV
yAOg0vo0F31zJTdaR6SWZcdl0ltIU3VvTfdrt7R3gwCPhSEuyyJx9d7UD5HCwcll9z7IaJtorLi9
xhuZ/aGG3SeNqLd+qPzeTacN1y5Gs7Pq6I0xhtKfQZYr+63IhzldwfvjU9f6LsIBelDKm2+Whpn2
n/djI2NKFLv+s3Wq9XqIURQte06glzVOWqm+lHbhH8C/TCowtF3tkG/a+e7nxax/ADqItK2yeDnE
2g3H6jB49Nqo4bGHvJ+DN2bC6chjwRzmdfx/uBX/P+5x9F/eioKGyb+6FX/8s23/vhhffurvi5Hb
D0rFF9xuLtI6wS/83iCbv03zLy4/0kPf/iafgA3/fjHyN1JsB2Hc/tcEONtkdv++GGmMBPPv8+eD
Xq5N5z+5GS+0RBhSaJzjAnhQTtnQ03sW8GNtpyCC+mGel7vWeMjqDBp1zj6we1qFRr8NLLG+Khfd
VkfbrtRH1fn6feVPCxhC3A5//DB7b16KnB/7CTmXlca3LD3ekzyY2gju/ue38du1r+J81nd0EXPu
6KPdymQOO6x2tKQDBdfGnz+GHOQiGZtIDSmFNRccIH3oA3WH7ddYKfue35FjOalr5z3FSOSc10DI
Px04guX06zd2L3LTff52lpXiEDTEJr24eOMC0yAglrqDBcuyQwCX9177VO8nRRtpgRxucUp6L+NO
28IA08Ja2d65QSHvYNbs1Nd8mSYnLaxeHDCJd+BSTW6DP42iAh7vyvxNNeP5xno0Hag24qcpH27g
/WioSxeo4LYYc92cfz2qfy4D4l87ZCEC9gaU/c+DClcLaxEi2DvEbvFTl0WOm9B8ka3Rt/Pyxixj
/NhLp/7w68de1kwYhCljQv44EHuR/+yv9QPOgA018/spa+/aaHPuYDXmO1rrwBPJ/OnXT9qLkx9r
7P1JMaKAHSOAF48u9lnPrboNXIx3NFLxP0Nr0/tXqmh1aQ6dH+0BwD317DXqUmg/0/xu01yW+IwS
kZKgcRV/b5LocPF4iqoCqQO9FMKhEsgjZ/G54i+11WeotumINaejgTBLf/7f7J3JcuNWuq1f5cSd
w4GNHoM7IcCeVEMppVROEHI26NuNbuPpzweVq8pO13FF3ek9EZ44UhJJAAT+Zq1vTUULHbnNa/c7
3j62pL6yLrNjdnpgThm++wz2zSezQ7UTJp5S3xttbEJdAwgQUKxZ3QEy4DL8m9ZP/PlE0UBz26D1
Q86BSv2PJ0p3Bruy7Ui7iiEq39Nuhe4KLe8rC40OCrQTWNX8VxYrUFCWlgE0cvs0wCDk/ujdZakD
lcQu5ohs/J4ytvw22k3i/hsqP3OJn08yyg8uojWkkIU99f8f36XTeanODsK8UtE1ke+FvZ8s+3Un
7+/6cRgYmrb641gqe0DZnYDEFxWFY9fsi/VRnxdteWtgtc0Q16f4dcrK+kiF028aCqZPECy8MGKq
GgwfdQQ+RmqKKJPV3bQWGu1acsSxoPrAi0clAia6PEA6KG5GFj/EkCvmTTG47V1PFdN/1DPOWtqI
VBncG6xhWTb65GWXYi2DqG+tU7KWRstHlTTpCf4Srvn0CLmZOmpaSyqxFldLNn9tJJSQgZEuI+Sy
d3eRbIcjinbjuUUThtrA1ajXliSPfvU/qri0arUvw1raNY3EvAPq5Chav/iWjo3D934tB9OPynBc
i0SA7pQ7a+EoSJW6bycYGrhJ2p34qDALxlugNCYW1sG4FqGlNClHG/8+iVCkhIze+wOPGmMKWLzR
jfVu8Xku9eRsdH7zZOMV3Q9+phlUTOXy7jl1t5X6nC27MffinYYI7x1Zw/QDOBn18/JRS1cfdfW8
ltjmWmyrj7q7W0vwojfLQ8WPMqhcK3Rqc6r17KNyd6MJ6NpHPQ+XOQrMjyq/o96P15HW47Q2AelH
P5B99AbmR58wm+58cbD2FRGDuLYvyw2cBDAU3xJYk8byJidwn9j6/I5bef3VUGXWmx0u42Fo9Ls+
76F9YRttlz1gsz6CEJUiKcyMon7SUfAeM2WS3YCwYY10gHgxc7qgjoRVFPE87Avm7ls0r7EeAD8W
0X1C2AHMn1y5UxKqufD7iyN7kytqimohp2DgWbhztCSL7ke+Ok4ctJD0ueBMJLu7qkg7AK8tDy8W
R3ADAi1ig4xTJ6IJAQMXsWVM/GGKdnCpi3IrI6qCnV3F5RJ4i80dszJgCQdl0mm0TlLF8gGfKvP5
Ok69H9owuqke6rXRg8XyQOvbVKzRqTLd3rWzoJplu6iDpDXrwEjEicuKRY4LwNZOVulOFU6pDrqU
ZRPYBta8wEXnV4CJbwEtc1qNV60pFxEysMppUPJS1+4BF2hwigg4eM3K0i+PZuf3xTZneH9bht4E
e4PJVZyTKZEwdt2E9ncfdWNTPfEwNk94jox8NzS8g23dF/Gy9cS8YBXKVDNdSw+y1Vbjq9LBTBPD
qYNlWYRxBE45dJnG0WK6kvqkglS4fMf+5TuQDXqoD0jNkvYoqPgPeGxyJwAr1pphWqdRuAxRjl9t
6hofLQqmg8BkgbBgEcwW7axHhbUTTQTbxyXpotkKBPT1MUnFFG9z30poCfi5jfAxFnL5xAxW5ynF
jg1JQPvS4aRTbD35Hhl3YkF3n4JAtjTzWRXoc++chlAOQiTa/moPFY+kGCEvv+Bjbzd3CINE9YbE
q0pOLWKJeScne0nPaBP7Zysz7Hd7jrAqe4KLlyUpBLqtdBZmCViHM0h9JqLMANPWNkUY81ZME5VF
Fmfjk7Sd6Vck4ybMgimOth5OH+gpXsTfsYsaaRRRFOIOKoRpPcreFs+ix/u/meAue0GPoGTesobP
0kMHXAPIjRtL4z7VXB+mdbtenFnWyr1byASSvLJ6L9DbdTiSTBVvrMbTIc48wfwXVLdc3SV3yS70
hD/T9ko/Mh6yDt7VzfAq3zrOVjYN137u1+KT5IcHO9eceVtPJS9d18uCbd8o+2Wv5+764de3PnF/
4n1h+byz7IpPMbRsUTdJXudL4OdAtoOmiPP0sUI3BM5koCqI+TfuqUZfJfetsBQuRLNJdE43ysTh
WmoJ4u5UH1oAHuxwzK1i97neNPgyBXwibiDgC9Y6ua/KF4AG/olpfeptkN7kXBdsLd+nCnc+tpFM
3cx+1uU5pszNmIkxQ37yeFrsZaWLu9aP2zeU4OQlsJZLjVPtxf5wRuqPm1R1bgt2hCXBHgAwejmg
OuprXsAenweJ4brFtpO/TsyO5AGQSfkDacF6D0nbIgnpAzxzm+IEkbsGO8WrpkflrpyamK2axW1O
dVNyS+ERnqFFZHZoG53BzrOwLZeAD8N/6bCUxFviAviaLFpk+kerqkX7veSGDJhacEltYVBxjWQ2
6IMdMIRxy0Nmas+iGwyHOIqC4I0iMUed0rvNvnQ+gD9NUaafFr/vxDeAc0qCXhXuCM/K4E/N4PDB
lE1Mpo8Np2UKNKyUSPjGsb/OysXmP8oWbbk8WCV2w8MyrfhBSDFy2TdFXtfXypmti9brFvyltirH
c4wGLQk8W5bJM5WI/KZDloRB6KZyJDVHTowJp9Ej5gVMxlMBeif9LGrSbMbNQgWmPjW9qfn8MdBc
THdwsJ60qJl+ZSykjeh+pJOTAaOLx5l5wbLvBqyVMLDXaV9q9Jn5MOfFYt+VTrMidJpRd66WYDkb
KKobuZ0g/gDL9CqQ9FiAS+4dUhZbMZtzF44FqCziMlqu/tyaYzdUkSIQB/q8075iahbPWcIYhK9D
6r9wrZfyofKZhuwGxEooH8oE9NA8vCFtQyK2yfPR/WTD2JnCCeqoBQStQIDbRlhyeLhzRW+b1ORs
0jgwvkvNPq8vbtck5gO8qMI5ojP1+VzzrMXXvNOaKSwl4I0N1djQX4si4v13aEl2MvHyBCClrh9V
a/G9V47jkh0VJe71o/H4j/YL/z9OUgymGX85SrnWVf/+xwXDb7/z90GKbv2iG+baadPmUnj8fsPg
sHzwdR2d6mqaNf65YbBYS9AU69yX1m09VOd/DFLWnGYHVT47ZN222aX/R4MUaw03/0NPaTs6vRz/
mdg4IRf81DQ3bJ+NKFLJvdsgvQsKeLJgyFBGBjbDY3Vw69ysdgNcO6aOqdlcY6PQggLe+DfEKkuN
gKA0mgC8Vzsfk6UtAQOx3/+6dIa/LavUszZW2agLvoaueE0Xq73UuJi+ZWY8+xsx5POw0fEMqrDU
xtHcp5pTf3JR+BtHCf5tPM1m2k3XDqb+FuoR0QkAthSiMie/opyyApq5foOQ8qIPquGbQW0YiKxa
YA6q7ss4GGwHjKQ4WuNMgI/KPPEdecJAhQiZbOfTpRto6Ss7AVmVpNdihGFBLAmggG7ojmNdZs2G
UJ/5cWy1vZENRlgb/utUzaD2NIa3DMYZzm6UWrLX2ZYN0DizCTGeXxJ86d1hZToy/51ygNzhUBcZ
on3X7GySPyqqXGIpOknMQJQvYsOZ5yjryyAeUlAkJwxlVKNsbZzzhK3yK0dEnVnlZxAMoUssR7YL
UrPObofifIWhbBprcpAYdh6T860xG9O1zqwitYqDS0AKyMSdQzLQKIIJ8GpvHrJ0TuqWrUXejIN7
Ji4MVfvCaB+jHJFh0K+yBExTTHkyHkUJbmskpQXErNNvZoHJMj/GHrLlJgSpY72hcxA3Caz0oWgR
an7zK7fJfviZkD8oyI3JvDMqaZfiyS0jsXP61AUdC5jD/dxMKHFIKfIRbZPhcHKqgSKBkXGUBAqj
xxE1bWUC+csfacNYMaRlRxGTT/dS4YHS05R1RjHndcgwLkY6JcTJy3J4dLG+7BYoW/u8Tu5ZpM2Y
IQYQJQB2jDCFrVwFRdvHJ492DswTEwrqWmTPB3K9xn6LvwKe1qx3O0JR5HttNMVXA9SASSSDdOwN
QjLIp14Eiinus86Eq+yLk6Td2lhmXJBAkWbiYFXDF/BRY78Kh+0HjSNokybRxF/iDuBqnFmUDrOt
7elxqtDl5a6EsdGnLmJ+rOpe7JMp97J7S0Tupmw9llK5oednEkUoYSZDjrg/YTeNk27f4ZnJjM3c
Fxbc0Gw5gaTSN0umE5MzJO+8R55a+Bh2KEXvnEQSk4Ir4oJBD//4nEdfki5hH1AukJ4y09rmbV6d
BuE2nzK53NmVaz+uV/Y9nAOd4Z5ZbZ1WXJcMnF+SNn3gmY298/BkdRyBRv9RC6Xf1wwGP0MxWM4g
IaZLPebFQRb06Cp14n2WsYGJUhltopbyAe+C3DcO87rY0sA3YLK5eLn7AvD7vjKzFlp25FxgI9hk
Q7TaIcvk9Gq39YTHDdPKBS2r8VbaimSuQS01vWShmzfHsAbivKT5Q3O9pAx6jsYuX7L+OPTFV9b4
ftClkfRQgasW8fHoWE+NOc1JYLhj/dXyVPyMkyMG95d39q99Waf7ypf4sJZGO5KiZgRkjKAiGcbi
iB2+PuUz6BEvy2AFjvQCJprcA7YDTFBNNXqbAeHpDjS54EIfevoRhsjPpALlQcHxeWZc/chlXd88
Q10wirCuAzdzYDqC9cUzW/cE7wh1Pxpa79vsVMmDX3jpYYzq6htNqw8LDc02hhhm+XD3LIAmujhG
Tnbry847KnP1ZXB1PwmtbsqNmJRB4JOJnaFfPnl6JujHbciBrtumd0BVuLMPuvmlLmIkx8mghfMk
rCycMf6/2ZB4QlM0y62e/TSw3G56pfAjMcTM6qtRNHB4Rnf+qs3VSMdj9j/ifNKC3G6XbV0Ac5+h
7X02qqW8X0Tq34+ztzyoyq53ooj7B6PrmnME9+XJFd2SB4T+5BixoLxvJbKed68ZutCah/qWwSHr
McMlZpCg6tpYNHk/gMrph2qs3DfT6BdmTVxaSD+JTkp6NTLIQTeN0JQ7vzd12sb1RudqtEsc8I00
yeURxqcY8vjZm+zkVKPqf2gF2MK+1UeOrJ+o76nq+idMNJCbWoPRjdRVQcshJFFn6+JeCBJxlk6p
IUBv+L0sU5P6k92AaUPzmbMmCzSz7S5LVU+Phattifryr+1o2OnGVWkSHU1Hy6+JLtoQBWz2pZCj
8ZzJorm6jaeekEZL0sycxL8BDe0Po0e+Wj1HKflZkTUFY5Lq90wI8tfSr9vXGBrqQzUU0UvDwvY8
zO1MS+ktnwTr6i2tWrZX3ajQUvfthjQcmYQWn5bdX2/o/bEqFuCOsTt8wnBGXGFqySrUiPGCmkZT
0GItfWjJrDQxDUf1qZo0qw/KfFJnbMyQ89JOGFuvtkyOYz99tmbXxiqQOHtwLWQtZW20nEQqnK8G
fx+3fVSlD3FPq+Jkuv+qFlsedGvhQe9hIS02Mpbpjig65+KSC/scuWMXbzRMSxBzI5aSoTfNFxjP
3U421vCbWe9/i+Nn1Xz/v//nf1wzGrimqSb/IS/7k/rm7vv0X29QhH8vv/ntl36rjglF8WwEZa5n
CQCIUIj+sWZ0/V9cB0s0PuG/1cDU4X9fM9qsGdlJcttyWUMASfhndaz/QhizuZpWEbZD+rL/kzXj
TwsDoCIOWjH2luvCEd3qT1syMTrtqOtxfQTVifA9r2L73uym5g6Hnhf+7tD8iyXiqo/83W7n47VQ
K5Iv6xET9LE6/f0WaZSsP1AhV0fXnBgYjUrcZYPpvyiOwIVcUX/716/305phfT2WlRi5187jz9CQ
TiNBpvF0Xq8ED4rqGmjKJpvZYPWzZR5ZoRFdZ86ewGmYGs9//eI/berWF0f757BQ5OytFJk/7jha
TZdzjTOCO2Lff0O3BL+mEKN3UWKZb3O0+Ex99H/3kf/FIbY5WmyvmFj+OW25l5Rnk+eSuFqK+SEv
kv4bASbMEPy0mx9iXf3HL+gILlJeDsQAUb72+oZ+txlkijtjY+z8Q6JF9dllbB2qpKct8kztCwYn
5+2vD+vPi2iLLxDdpIfel8mxTzv3xxdUUuhLHK2RDfXc5tQXEdPEZeExhXIMwEAAN1AAW6usVQss
bu1oVy8sGNwpSFgKVCvT3b31yjBWMZU9wKJvEnkRsz9/Vob3b64CdPc/X/SuTR/Bd9/ibPJl/+n9
VsSmxVnZDwfWYLH1rJWoq84yLnQ8WfWaJtvGYjqBs1cF4pl1fMp3UN00KHAHsl8c55RK4AXEuzF0
NJHtbxJnZSGBTIF5sHjijvyNMjmNusEA6GMUWxqggUEU28zcB0OSa611KQNZZSzerrFncQcqTuu2
A1F/Z/KO5pvonfkhYotUbBZ23/av3mg2CgvfMo8MfFumjkzQ5weHu4QToivO/UOmj9prViBKurUY
UrjkogxMwMaVLKnrjUEojfjOVTozkRLUePO1t/zRepwrNV0qPWFPQPIpWBrfIl3v40bAtozv6TzK
+UEjPPXBz1sCBGbq5bchM8jZ7nTz6GCLYkA6js2bV5rjA4sHyDR+u3D7IhcVWqTo7HdAPPONxS1T
bDRtzZuZ9PNNI/342e4HL2S4zkTcZ4Z1rJQ/vzkQ8YaASQS9Gsl0822wOj4pObjUgYXkBZn2RS8G
PFy2ZdRI78XAcfSWkePWWeJ58DlpTNj8lwnj0bvD0PmWxtLf4payzR1x2sy1/Zmx8EZidrv97VpN
sphBcGKmzKzTfJbfiqxGQWHZfFhDgXjYywkiC2g/8GsnHyFaecRs05Y9vDffG7Y9kSSvCaDhF6/h
fhpS7zP/LIlig5ZVOdZ7Lb3mLYnhacY0nhdfdeuAD7LwxmJUmAGgaLTAgsx/7oDsYeFs6vlhYMww
haODkyPg2928zTNLmuBvM+8RcBBJrokwoehmjECnZv2sE9xCisyaacB6/K25txkTeBZ0XRdspqcl
MmjB89x9/Az4zSoolZ5x31iSg8ZnfUzcfgyn2Pd3zD65gGnagarjjG0OJGxE0VlIAGDBKCfShtrZ
828oJQTdKHpQBHt9QT1/17eOZJnolTjxnhio6JRJEUXiuGPjpDaRqa3ta5EK/TiJ3h1nnJcaOxPJ
VknbK33IprCFLxPdgAPaxSaBmd5sqoQ94MXAgvPG4n36NoLwH4OJXjF9mIhInF4lhz9hHo9cUhrQ
PzYLoZcbDX8iZHYMMeAIbI6zfG7MKMGIqPDPoEGFG0Go5DpXQgVq7cDsmnc2iUPBOE6HyFfzuWf0
8uxgIA2SJoLGiTGZLQV7KUhz4rPUjTZsYAhsSPoV9xTH/W1ixhxvelIwv/T43SyuL5yXQeyn83kk
g+lgeYTibgaduQy69+XO64b4G+NmceeAjDxVaeLcNXrlo/BZLHUR1VRywmckrnTYMQ1hs/Tf/BQG
YgiVPk5DLm7/ZEXgFkKI10RSIfKIXswKe30oNOsTsC6Ngrh9rwQRC1mBaP3QTia3bOGaXHQgjbmk
VG7Lb4ngfzbcl+cbjzmuZSOqkvTgaBFP6aVL9+z5mzdb9P5LqRJYzG7slWtlPaKbnZPoZQ25v2ss
0bwpuYIBQXq8o0eNXzIExeeyNnKiy/XsNesgfEB8sAHD6Oh0U9c0j17jw5Dx/Qjy8+TVzw6IT2Iw
qxCzkhXvhFl6NqGiCxX6Ihvxpew0bTkuOCy8owl605wC0Ui64A6kxckxTPPXJR5tZwvq+vTPGAqC
ZBNmSv6zmyTt/0sUBUwF94nBau7Cyp+OtjloY2gCFA5+n0lRGdX9PBjzsFvI/vw5nMJSRgsyv7Ds
38IpKlezfiXBg59veGJ1n/DeG6gQvCntsK83Ub1bvDotNkacD0SYYte4kPE5cOjKqEE3bceflevV
h9SqvHs3MfUw41u1d0VDu6/gv76BkKAWaXrbu5hsPoNcjJxWrPvdNi3gim6JgIi7u86Tit498+7I
AGOHBNIfcmXhsHQpMh8lNn3PJncWLppVIXeTLMZCPF7rpTTEVRLGSS3uoGFxL20dTIubzOfvjKRF
7J0+8S9y4tQEBQiamP0n8ab0w9ibU1LH2TvmDMU2sxn7F6doSDGLDbRARTd2B4WiqwxGO5ZyD/3L
uwB0gq9GilexyXiYlAFy+vkBACjfJXZYxd5VPMfrjhc2o8V6X1TGDf/jFugmA5sgLILrpT/pRfJA
WiDU3aGZrMs0DDorUZuFTddr8ltlEkuBHqDjyW8srf3uFjwfJYY9Vid2WrAYaZkxIKewXSoGRV+z
/9vbEvACyQVPMiqJSNN4fLlkP53bousOo0Iz1o/UviWzja1YCnZyxmTQDDNUKq35ik/bMAO98+u3
yWibBG34yLtOy4bPOo0LL1l1qXJvCHkK0o8bB9dzCYUgbnPQo54+QhWIZ8s5DblkqAV7Xz1FWm2/
OYngxqo6LbtMTTcT2fYv40isxfTYPYKteSpqTT81Q6L9gNDjAyKYUF7wnqlyPrbJxjxxWXhFx5O8
9XvxbMJMoYXvZtQQHXkbC+8kXY8oSFjCrWwa/2BoPPR6Zcet6ilaz2jGOPB9Gcp1J05AyB30ArqG
3lh0QlWYfa+BBiiI9RehKcu2OE6Ulk/wTbXhaXRmxn1BOiVx4t2KHLQCj6qGQBKo03Gr0ErkqRYL
4jeoluM9uDe0AoJyo9DB3aSQSPIgKso0xIPJBM0hDAS8PDWIayT6KYfTfGeW/YgoMYH+SFxTOLNH
ORXZ0lw5/e2t9riz5GOifZ41Pz1ppG4g+Eh49MCGOsTscwlpcbVdMUw2n6N1wkqHqo3ikAQCGQUY
dx5jj1u62cXDTugxeieAZZtunttjDemAAXAhbhUJbTWT7L7b4KxP4RxQkfROmf+AKMBgdKyjg7/U
bPH6diRfo0bkwl3hR9W1P7RC3fuzNR25rikMhla/9/tGv7dLNYajXgaOVOVhHmyyCMlLeJqRTe8y
HqJh1iaEGmBttHR2jrMxVI+cbZ7L1VycePKVe6vMGW1pJgPa0tnGfnEdkMRuTA7Vva6a+FOjOcNb
VxvmXT2Wqxwp1ikg53Zf+AW28vHBLMWNyg9cNZO4H8wx7ZNpQvtOwWP7GRkVFVTpyDto2fKd7REn
xAJEi9rGxhWP408vsPcqtH6BxhNYbtQwrneQBHEIsWADd0NUUOehNcgLN1XbXGVecJGWCXeb1Om4
Ipcx4txHMxPDB5VDOQ1Gyu7wr9uotev4Qyvu0Ue5WO5cZKSs4H5q+8muznyeeM2hsT+KfhZHJFyv
he9fv86fuh+PtFYGFQJLJGbVny2TBLj1Q1b3zaGoCPdAMeyK51auMiRrFvXZWRMnTh+3w79+3T+1
/rwuy0iWh3SmxHz+1HXRkhcMZefmMGeF895r4KNKOaOKmeCadtu6rNTNcRLuxcwfqXL/+tVXleVP
R5dlKF0xX3DexM/kPSUzpifkxhxg89CAkJ5kPHvrXZeocu72fcz6hqTKjrZkrbyB5nFz/3gL/zux
+zcTO9MxVjbd/zyxe/0u+/96Sbs4rdL334/tfvvNv4/t3F9cg6vHB3ZnG4ju+KO/uQM84xcHGAsM
L2gd2I8NZmp/H9vpvzhc7LrrMer749jOdH/B5cblgOyVoRQkk/9kbMd88OdrzGQy6FkMHAQaWp7n
/PvvBi+xsqaiyuLkKEt3ONeELdDXGI08I2CzwsLqqXrywWRVKbSNKmNKffKh2JeI6YATVGNfEw3u
ruv97sn3+Bk6Ef8l9XoA22vuEvFOfn2usSDtBqckInDG9HOU0eJ2uyEboiWwNRaxG/x9QCAs3C3h
6Ks8tBvQmm1knSoPwsOmU3FHi+XFn9hK0VGMdhehCcw++9P0grsqchBzSPVp6cdVsVOoXTpqekhS
1/AIKkGc+pp+hBAOOW171pnjukdub3AE0wu/gm2s09e4llp7TKMmk2ECn+rQmW19XSZVkQtj6q9L
143nDNn4c9QomvFOJg+Gj/Zl46PN2XDrz8nYLZ00hGxRAB21WQQlkyqf4gRnt2HOTZBJ/tnVW3Fm
MfipznEQgKgcr56leN4VfUAmT00cQ41LTqZW/5QDgHhA32k+Rkj6503tMCfYER/NJy48beHRF/lo
kEZrazSj2DiqLULecx6aEhY8WSnlhigal0eB+YrArTmINLm4lO17MST3MbMHWFNKt4rQRWoVWPZk
0dnGi3XpwXSDGqxYYHvOQlBL2R/8qeo/WcCn8Fyli9hqowGEASkrD3dZ2ZwPe7gsnnHoM/0tRTAY
DnyWbR71L1Gl9JM/dZ9UTsqMr/TqSzdl6iSShkWt8pLQztU2Fr0dAuSNb9KqTKyThH2BiSrbOzSJ
JYe6gFTHpq527mP4sQ9AvKJQS9zxLQLY8kj9mm3t2Jkvamm+9yCWFDn1i7ON2jR+WOi1TzMTho40
RICEYr6AlY2YqDo4yyotehRm/5kkkiqwezc/Jk4Xxeep14vxEQxD3b53cSy/6FM7/EizUTw6ZWOf
s7g1n3IECSFEr+FiS9k6QT+WHLIJJPJ1MPQvmEaHO60xtK0x6d8ZMH5xp6mWoFiq9jhmuMyK1NTv
VeEKgpA6hS8uZsW5kOobZDzKWRxHxUDs7TCUbHQgse4ip64KwEbT9CWJlxrRNTPLZis14ogIOEHi
QNttAHDqyy2Q6hEpfL0ALmXldIHlAu5vFip6HBvjYbLF2yL9N71jmol1Y9sRB9kcfCdtfDaUSdvh
0OOK0Sn9Xu3Ie46j5rtuDBGBmITpbTvSRw92MY7efYK2Hn6ylwZZ4hiHmHvOjb8Qo+SQyZ1s0zN2
muk4i6qUXMxr7AmBQ5Nxlb5c4r0XzV1M2GfzVmKZGW5dD0IYBC063iF6AKeCub7NG1IUzTGUVMq7
Qff3yjKpV9lyt48GMZPlYYgEVBhvUNk5N/Usx0rTVPAFqY+v0jajrWvWyTFBWrFtG/QHjqtpoWgc
79Xq8Ats+uVcIdI+xL1M9rnHTDViZLKzI4XEQ1fTDp/rmqBa5J9naDFhmbXT2UvdnVX15aaJlCCp
WFr5Ju8y+zGpy3zbOPm4cUilDph7WmzuyvaU5SYRhOjF96NF2zOKMr5Ooz1xBLJleW4ZcRzt3uuu
s95rL1Mc4tQ8D3oeh0wTyYZN49oD0WSWACPODrkZBgCssO4Q+M9LtGxtfupc2Hp9FShz4alY2kwT
XrcGTchgm+4xpyjkTtW1j9BUzGfP9pLAcRi/J7Zgi6iaBdARXQYIuSLP35bMH6i53OkMAnUdCI9f
6E+gOY5DMm9s1yd9FkDDZl7Gu2KJ1Q+CeEb+1XV3iR0TIszacdjPkfwKWpeUCxTOOZPoSiAV0odj
VCqSCOuou6TF8IUHi7Ob+mI8VEtLZl4R1avKuZkmJ2At3H81Kp42Wwy/8kJ+kr8bY/EUsyQ7gLjV
z6nukiJWedmeLTExoEt3kOxxWDD73rZySaoEzjYejK7SjzrQLzSieXJ0JmvesorRz04/QVZfYzll
oxuXwRX+ea7cdEscyC1yFhW4Mnb3U+NLD5dy+mNI1YCxhxUeUm7uvZMgXcUHeHNsfVEu6KBz8H+z
+dCJOgBJaqjA5it6JXc5vUv1mXC6gjGqWnI/tIkEPtFZIsYf2vNcElGrk+XzDeg80MyymbZZUTQX
FO7xZhms5Ngt/q9Iz8tjbHff0PIO2yGffi1LhBy6UGI7DDxuRJccPYKuD8NUmGEZeXejiG4oX00a
QgC13jDaj8TdlLtOk3exym4D6KDHKckeZo7rKZpt6nu9uIvdctnNTu7zaCQMV984o3R29iLRFhCG
iJhhHMgDt2b1ycqV2kwDx/VGcFbsnJCRqOGqJOvCrcGTs9sY6Uxr2+umipONNdUK+hwWMX2bkOi1
PJUoNLTPkzRmhdHOxQaT2mBWmfZV+M7h7hYFgV+9EIo+JH2y3c7JQuJ1KWVoiywAaILM0pqN18ZA
YVJvdNGV31UNRxi2/tISP2doSdgwy3s1m2F+LUG7neiwBB1WJfetYo0QgLSdnUCofDzp2DK49RcV
x2BMemKYdfLESu6YHjLxd5RzWQgGIWObgkpkYxtuefPQ4J5gokr8C/bWdf0Jh7jHwNQYtL3sJ/tB
Kq/dTV4rmPsBSyQ7lNsrpgEOUK6ITkj0OH4hPh2LO3M15Hu5/JDtwwHuFmsM9QWf01QPYtrwdFum
VTRlnrtmKJNtb3QN2hkCtXxvw5NL39mSZ9sGg4OHy98d8Aqx5juxF6vicPHkOBz1RA3nIsm1o9a2
DoUfFiUA7BAi7oGtAUSo+6VNMbO3/rYmz5F8Vlh/YR63+psEeSfCOdOzRy/p2lvmoy7Gm0PeTI30
cy/TaN51nu4cFpHMIw64GWG2jsx8VbKp/hVvtB8iBBYX2KhMZgtO/ufFTK2dI+09GK0BWDuMBbXx
MLby+5i8ZW2OuC20aQR7ht7FnLWSuGKHYRwVUFsEpWN4Ryu19FcCibMgbhhaBPFgevmOiLZq5HLp
dSbMff+Zm/eyNTlI59oHX+bm0OhZKZYbzmgE5Aze4ozzJ0+w/A+ZYmBoA2LuHYILEUeW91UrPRE4
WBy3kESvjT0BksepxUjOhUmQeA1xEgCoHmWB7WALpqbYWxVMA5+TdvIG2Y4hy0f1bSZw/Asz9/ST
oRz3HFkEKwUpZPyL1CnNQmI2Y/9KCKNJXJr7uS9N+aoiGkMntq1doSHNMf6bvTPbbhvJsugXIRfm
4bEBkiCpgdZgyfYLlmRZmGcgAMTX94admWXTLquzn/OhspyDBBJD4Ma95+wzW+qh0xfZBRii7I9G
Y4opYKIDDtxwWAcK3bsipWP5ouPYCQaApk+sp+kRIJi2RTBtf4DR2y9Bjt0/2ilEeOG1U6VOF6fs
dguIs9tRI0YciwfKp8XJt7mZeqE3l+PWYsR2AQ93ul76eLrtnZxmD5QvmKy5jjysSZ7IicVurNc1
vhdMALbf0OrdtjoSwLKmpWdEQ7tlJmHvdKE6L3qlz5dNnzJxaGVz16x6z4D1PHtF/NffA+4tPsSa
WsQbCxDzsV4wIcFpU48q4ddQX632Qm1j+8aQwxQwza8PdOU4AO4pBglms10qR6P2RwqGB3IMamdI
cEsXZbWb7MYKM/LrD0jJSXzziume6aCxU9RuOxAzfkrjDmVdVorrzHH0CxYJseEB5GFxBNn0tErJ
eenSIFHahkjdDFGUqZUgc8XS+jVsXCoGM7tA9x6BYFRbCigUd0luWxJdKo2rtB3tV7zS04tdzuSZ
NoU3Xwldn43dBCdx9+/+vxrSYXlj/49eZ2XX//f9/8VT1T/132/8//yRPzf+nvmHhR+dJcG16Bzp
K9z/LyyAivnfYo6PThJFx1eUzt8b/7/1OYb9B/mdMJ/UVRMP7+kfqdfB8fy40Qfxhc+TIAENYDjG
+/NWXYv7mV3VbF+gQWdl0mkLTBsbJeNE97pXGtRrji6jEcIEGK/ouq4WjSxGS1U6byMHw1w75y1I
UGacttHNPC9zZ0Z7NwK3GIyGsFi58WE111D90JTs8ESV5nQ9MLakNCRsamI3iqEdyj1BtKV9Kcy2
/wzo82Ywsc8HGms00bG2sysQLi07iMsbEueWO8WVElfsgGKWhryG28vXAdnLUAdurV5Ws1ZY7KvV
VY4IeKvfF607tu8yhOJ3XRt5H/tCGknQ4ZDVArbwa6kMYGVliXsfFITkNYdYbLllY6gTGuc49GcN
8oe3Rp26p7yt7I8t+REbxaunTylZkO8ku0OyfReLl0XSDXSv9XkAq5AoLtQRpQlzKMKHjBzwT7yu
2g96T3afT/Sj97n23M/FvFy7ascOQuTlcuAv0ZUYbeOUkja09zxH22LV8YJ5zUIEUuO1N8CHKMfV
ZaGpMcWC4X7jsLOvx5o4EmppSizNolDGGf5u1MaeAWYZHfRumUIpneXG6/XliJa67ZARw0kjTEZJ
90mRpS/cD9ZNBoYdggqF0CkpKzecLZtyuZ61yykaqvtEOsREuGP9rpamE4iZ0VhguoN+xdwPY2bN
2M23W9041SbeSOZZYHCgQBxEqpH0PVg05dNxFRXr1cjIQaAjUSgBjMmQ+8LMZizjoFY/KUvZIIgu
lBBOvTzAnZaf1VJ3DkmvNXcSbcH1qLT1Za3EI316qSyMJqUtNI1KzBx0dIx//f+Q66ZIrhREEM0Y
pGrppNATkYlU3TGDQjBVxzLqp6LeOBi0M2+nd8qtq2hrnKGYin6SW4BJmvr53xX1/7KiEtzOkvTf
F1Ss7HX39FJ/v6R++5m//UEsmzRQPZxBmHD0Farw94qKCwiVnm0hkPN0y6HL+teKqqGA1JE5ftdl
/YtAtq6wGh1YGnFsdSGc/ZNW6tc0lu+69asckXYtD6fL4cibW2cJ33VS1TKhnFQw8AITWm8nuC/u
Mn7o/rzjvt1/OTq/JAudniw269KgmTVt49KjP4szp15wORzXrNrcuKoUIBo81uTexirGGkZUaR+O
eTbMER0JVor00oonQUar5J9G457nh2O9Vy2BdogJ21iOc3KpCdT9MmeI6ih+4iqYGIXtVuXRABGC
WdGYinTx2ygS6ke96tZQJXvomuWOiBhGMlvXjCeHIn4eE++UpgP1rodPzy9dXSkDLMRotYqx40lE
fc2SS5ICgpt/5xB/gvbeqkPwvP3uqfmf4un5qfxhAKF9/ZE/HxoXNB8jBsoBhLIUESrP4F/zB/cP
0+HRWFkltsZf//PQGMiGVQZ7nstuzrZBvP6nLFH/0HXT4CFkqoGE0vtHZcn5/HAVN6Ab1oClYNL7
KYMy0xrd7A1T2XuKYmZsTBe5Hz2zv//unPxCMXw+5FgP4yBxRsuK2FnXzx5NqfXdgiFY2UNPRRhJ
Mu/GGFX3VE5Ewn2bmMGGjL/wdiuWuK6+Rxyd1VlrtCDRaCRO4rVGt7u6GL9fBrgWWe8JI9ovWu2d
VLsTVyxbxtGUKooOlFFvcTqNc1rLV/QJ65ulsvppxIOxMH5/yDmnxICaHe2xVkR0Ktt6uKxRsNQ+
nMHaClwPYR+EKkPfqWMsyEUp2O2Fdj3pVdha8Rige0IdgKON8ifDiefVM2PWxevU5woK6CUwMw+C
XOyFX8VTJYqCAIR8dVw6rbwpcpLbCqUb3iMArY7kpTU7MiXTazwR6bUZkw64MdDThFAuygNyRlJp
hr680YGSf8HeJR8SNAkPThNf4UxMt5NTADZoCKGRupFfoeu0XSwqxnij92P5Kg1Zn9BIZe91Nc18
lAfFzmrxpmlpKYC1VNNerSNi3mSrh65Q147xMm3pMzQ+nJD+Ar5/fY37EUIcyIYndorKvrCndiM7
Zdq39OCRNc5eZJMYq9efe7csL21ZzjdeLRM8mO0EVKNzzZ0KTOZjmivelG/mhN4FNfQyxVP/EUmo
tfSXSdVkO6dyADVMEfd5oCbEWtJDKavnsXOajxmRH4+Zl+u3HqG0CdvR3nvJXDJsfFj3ECtKfalz
n2Ah2iXCJcwZunDynCeIR4K0MosTowm3QXIaY40ep/FiGavpwV3WRj98wY2uF9x7mYx730wz65TS
jk/mVMVrAw8gAem+RQrdfSSvSexq2sxMoWCC+TNhPy9dWSZhUiWfly5rNjHtiosYuSgKImklmPs5
OUkVFVcw9OQjrB7lxoA3calK2Ox+P2v5wa6EqmzyNItUX6mVO5PX3iFCbr8XU9VvjSXNL9UsHl9i
CJvPubZkxVbGEuGEMqTekVPAKC6yP7dDQTt16q6rYhVVOfAKjZm2fW7idRoYd+Txe68n8rmNmiJU
Gpe3olJi1pyniiQIUw3IvLF9pxkuMqUzDSx/MYxi1c2ewCFH/McOMvMRyFJtL1t6ne1tNBX6JZ6/
d9Y8TZrPy9/k1ubpoQcq2MSbOhJh8WUu0cFYnTJckfAln4eZvjJX1npu5jw/geiAgSyH4ba1BiWo
BvcW3n26HS35QRk7TJ4SUy2tmf5aAZy0nTx7uoMqOgaAhcSOGewNsslH5I21vk9zdxImc3+RLJ8r
XDw43cVIErKNNzhDGOI2eubLPhM04cqc/AQdbxSe0NaWly5D0flQeCohuAG6KlX10XHFRFP1ExkZ
PjqYfqKXrNQtllzRZ/cmSRbIdHwo/a6Y7p1lSLaehleJvsrqvONljzPTgkrje4NbVSFCLttBMWSS
GYRoXscM6k4YHynnF5roGTAIkyHuQIBEPsn4VuTWmi7UpAJzZduNZByQLDi9i20ldg2/sds+ufAi
RdTpmh1hfdSbZOyALFeRQt+tmz39IYOCau3aGTzUi7OKNv1kSAblmCPTGbs7dlZVSVa41+cfFavJ
7zxRpmGnrsPgunSsvVCH4sGJFmVF9us0XOlUG0eaVrXqT1JgHrWUxAstGu1H0vRaFP6ztQfmpDp0
nheC4Uvpafc6lIzM77FrYAKM7OgO+9r02dYrsHCVVjU7k2jwQ10gsvdHKHibfCzMQ9Or1ZH8bm87
lCNM15IyjIfdnRDWmSaED0c42k6z+xqua1ptrcYbgqpXXfxrC4MkJYq8T3PHn1qYRneyJ/fLtypl
bDYIf8ub2TCbL6ZtumibohTuKOkIF83ilXJDAEqRbNke1gdwKN6psFL7qShp7flGIUjf653yRpny
lRNIuEoVECrIv7OUoXyFAlE8GCrKwSLPbLlxZVnfxSX7cx8RPZhaguVQrJH8u/l37/R/2TvhNl85
+P9987Rj75S+/FgGfvuZv+pA9Q9+BRoiXvPmukH6z+bJdRCb6DZGGFpetImc/+hQDDZPKmQAZrSq
QYaaQf325+YJtCV6Flzr9OgdW7e9f2QfWwuw7/ZOKKvYMtFCYh/GH9mw/VjBxJA5pNvU4x47TTwE
Re6hj8WT4F2aIzE4vmN11SX3VIoyPHlTxXZWHlrYaQA6sKVkD2dB8TwrD9s2lp6Q8xBOoy62zoLm
T0v1YrM4abn/7rL8ojr85aHQslBem8zE7bND4SenVVFaQ2hqiNALnVkNY/FmixSh/faw/NdC9FeH
4lSu0cgaF/1cM4cbPmeoYQ5hMc9pOBuy3TDYyINhdt6Kij4Tqn09gTj/VBPrFpvf8yh50J1jXlic
QC9FiyIWHcQRXepZ2Ju4igBp1wZeb9a2oIGEE/z+lHIPfn/v/HlwdhHrXczsaC3Iv9t3D6j1I6MZ
BiLrTdzD2ZxsKw12xu+P8vPZtCCL6+zxTfT20BF/PErPC6kXbTSGHWFJKF6AM7Bjn1tHbLOmRMX8
+8OdCR75UpbOjoxt0RoiYJ/bvSzkhEaiDWMYL6hvkrz74hj6KwpHzOdFeWFHdAR+f8SfTyN8cvqm
gP7JklTP+8PwIbLJNeoxzFSLcQq8JC6WV29/f5Sz3dHX76UjW/OQVdLVMNbT/N3FMtFlVEASxtBI
BbG5inJJuOJp0XQd0xVjvt8f7Vdn8fujnV00tsNxS7DjyC6AwiCijIgFk9Mmy2HgAjj3uzx//v0h
zxJura/fkFbQ2mW3CRQ5X8oWRjXuNPHYaYmNxLg2i4dYHaODXUsXs2EMQaK9deBjB21h9i/2oLrH
xjL2Y9zVoRg9sR1hkfjd5DSf59lQDgv+RV9nBHaHKd4vkNIEWt7KNxYm7RfX31BNNo+2tSYxnN9x
bh/jcBh4jDCRoVsx13e/T60jtopCCkPaazDGCe7aGJy9rV7M5idVOpi8NLe5BquPM6iJmQy7RvzG
s2D98qOtO1uecIv/rf/+u5sm89BowR8cQHsmGHkSa0PXfQ5a1x62TAn690AsskCdbK/Y1IWsjiRC
dpfwDEW+KecBHxANfQTcmd8uleobwPU2UYUSBKrMchGPenet21I5yHxi1ygGEtGcNdV0wOQ24i95
GISL2tBIyWY0FWdnGPrale/cLebR45B35G8riLOGyPIIhiWN2szfj5PbX+fmYkDPkRgHjDHdTMpw
qj1H7tsU4cJiFuxDUGlfMmlXH5WuFWFW5cqad/WaL8bt4A65T5Bpvh+QpZ/4zdXu93frzw8I0CQK
A5563sEMJH88s3MfowKa1ouONksB8gGLVz1o6Xw/yqhBM1Jq//iR5Ihg2+gdWc663vx4RK+bBVKB
fAi7KDpohMxArf/sVeZlZwChBK/24fff8Od1m2AIVhs0tqvTVz9TqPexJyquzRBmS9HAgscwENcT
bU1GI5vfH+rn2xR1lI5wGCCtCoTy7DaNR0tkE8Tn0HOFdVErrXaomfa/cQJ/eRQGaJQpABk5hz+e
QIKKlHIgHC1U7E5Fy+V4yh4IpPvu919GW5tG35VkrGN8G0T3WKQdjUTns+NgMJEarEhwIyjsN/BF
s509lwCweyR4aG3JXTW48VXsyMfOfYTXF9Zmnr61LK3tsvOPQQkDxECz0FB/7bp/9+y3bW1Ksh77
kAQ5Z4vHq9hBzBx25jSkbmCY0jxo1YxgUa2/FPXk3OZDNoWxpYqrUkp2cjm5ZL8/NfovPxMMZzqr
9D+t84oD0I6iRInRh1U8Vge1s7aeytxUVkN7HfUMmxJnbD4WICPBJTGhGpuUXkO6hie5FeOmqvhC
zJ+4zt15I+X0aYSDG7Tp0NwtRKTia0utvQVn5VgtxbWiAs76/3yBr11KSnqe/7OGYaR1HnrbiZOa
LLcx3YrdOJnx+4RVLGhaJ0N4o6nM7+yBN1ZXHgGQPiFuvMc27h3GJoqCmciRFX7i3dTSqe9dGnmS
uI+j4cJDguu4QPHKFN4VQ0EobNu88Q3OM7S+3p1sWOizfvsGZ3cnokA+cL304aJk8REKQnUcLHyj
eDI3Q9qxyI/MTrJMPRj1IgJgJm/1eY1f3gV0yBk8keNFq/fHB9FdWEsgS/dhpiRD44905J4pq945
EF58+iwvdSHmR4wzyWcY58Mo4iCr9QSOUFL5Iu53usq+vrNNxycJcSoZv49NkHBAhq9Zhqg61r4s
laaxVDp3jpFvLcLON7biPeLv7faasNRLxdKKvazrJ0eod/bCgWLza0aN11tvnPOfS7fVdoBegQoB
DN95MJsFmySPMhaENiseqyh0RFZsFInRtUZp90ad+Itl26YGZudJmjy14tk+qS8gdHUsOmETV68e
gHje2iKjK/tP6R7rncSRmBp6Jpx/bBU/Xkaa2iNUNYs7qYvvc82IgRHIdb61sJuwlhxMpmorSB9t
7a3O/S/evjYeDhtLMC8mCu8fDz3EKQCkTGWq5ywf0WegsWzXGPHXwhme2fLam98/919rz7PFlJQm
Jp6azoYb98mPB/SE0s9pyi3LNry6HQ3qniUyNkuViMAQ8gtU1nucufMmXhqKGxMRt+jjbqNSrfz+
o/zyZmJiy5uFOaN6/lpOx0FYieD5xR49bNTGwc0AVhvdXh0HVpK9/v5wv3hpAm9kZkzOFDiV8xXb
9jIaouPMRV66OYwbLQokycdv7BF/eX41OhncSZzenwiRWa/FtWY2fcgemWRmMScbUWVeYEeucph6
g6cTCvCGHPFiO0UxgVRCK7azUC4kjMI3ntefN+UuYz2qZWZ4jmudP6/TQo+ZLDw+jBhQ0sYOGNRO
IpxfYgTEmhI0fVmF0BJWFd6ovvEAnw+lvj5XVEOcbOp2DEZn9xpNamjEcBPCRTOT58bpGCpMXTyc
AARY0Ozt2raDmmxozOPL6rAGIVRYG0bdtLWJ80JyN5F7fiUSA/OpPgyId6wYa//v74xfLDS46wj3
5NGnzjn3PyHYSRerstvQniMcSSbYYBqvNGQjK33jlPziUIB3TXIp0BqA8zl73GEb9k3bOW04yKh8
NY3FuZFYWjpYZOr/42utHB3mvWtL7adVrVnZCo1rtiE68u7Gw1uIZciJLrJuoIv4d6PxFx2tXyxi
HIm2CCWiQ1Pr7DWIZCzO6pEjYV+JN2iFmjvyw5hpqD3xBnMJ1BQozRvLxy9PJftrxtq2hjX5bNEG
VFmR9WC1IQhsEZRMaJgdlzomLr1/41CoS1gVz1ZNKg0VZQfaDoMV68dV083Neoylxi1iduB27GUZ
yCxJzElu4HtjwbG7Xt/Y1OQwOAwxKTt2juO8lcDRyxtQDzxcqUGP8YBDrXjApYXdHZKDO26AMNuY
m6M2eapJdrjKGbH1uzgp1mFChVHLr/hKRuDYNcEAHs4QbQfwwoAOt04lmPc6QAHxc2d+nCfavT3q
2NgLkxHVLtPK2d4aXpPouLKYjX6xM5olsd+wg0kumFca0aZL8y553xeAJw8FafNWCGe+JN5XbbRj
KecZbfqYi/7aKqvRvTIRXEc3dg8ffsffKxMQ7w4+BjMNLye8NxdmfOU6leVsRsuoCQW32uJOKJ4d
HbtKqffwLEj8wcwH8dJL0gdwVoYJEpqokAOZxjF43JFs8dXgvsRbaLhVd5kJtpNQfjwohGHfTx7D
VgGxclMLSKkXpQLzmb5D2eibprTW4iolJvDJgZCNJgWcSCBdAsTv8AYoDil0fba8myJH3FWp2Q1b
GCyec6vWmAu3DL7i8UARO+9aFzojdp4Y8CayHCkD6DFeWMGRrLdFtLb/VEXHvdL2lvs+S5CXz0VZ
G0FvJtjwsqax9qU73tDn3eGqaB6jRi8+FIqr3g6VPWGmy2aANcw7jdY7jTgWkYzv5sSpbiOHJqqZ
QPsH3x/qZj4Ro5qXu3gUR0MsU6A3/VOG4cy3Rh3fWob2F3r/i2ko01ZAMeczdE5o95OKnDy1QxMT
vU/FjAWl8uKL3mzmZ2eAu2JikMKKLp5kazMLM9bIu3nxIUE8qMifwQ+17yyv7LbgcFOsdpMMRjXV
LtyySK7I4IAI4aBiRM3/MEvDCi1Fg8OJCxlkfnSIPBO/Z5aPFBW9ExS8JTZ978ibvJgP7WAOKPjx
WqUyP+V0l+bJ7OCAzvoG6E27nQfC6LMkEgRV5eXFZCRASlL3XeSat3Dx5602uclOyk4GizKMm0jH
oCYpXW+juGg+Ve6qDU0cQGIDfAIm292rrbQMsgYSdFwa1qFT19ahKzywHYgZDoaaQlLGvrOlSXHU
iZKCi6Hhb1g+lOrYfoDctHcs8y4dlw+kIFTbSfVo1I3Rh5KBJfbUvHQPoIGrnVBaUh4s5R65V3Ts
IyPd2KtTS81MhevQSt/MPLkBK9zcpp0i3rVx597248x70egvhwVybTFLFBhK9aVvIRe5xpDuSR0n
5KR0xavZDyM6TgaU+SYX6YAXaazbiqwvn0qzI14BqemA0sVNpK9z8zwC8zLmjdOyj+BlyiLB0H36
iIUzv24n7rJsibD/5NoBhQhMiHqod7Ym3Qv+UG9nHoht9E3SAOAkRuDABHiVO4BjMRE/yFUIoQD6
ZZaPNkIhIqAJnVU8MTsE6u2NvNDHTel2BK/ju3HcSwUhcObnjgtYqViEpRxpz6o9Tdo23XcdZ8of
8gonKwjm+4Su/ju9yEgdLKs8PcAd7rYW0SrX2qS7uxp4DT6glmZckvbqs61G1JP0d5utI9XiouEl
+3no3djervKeIJus1Lic596+M0UevXo099HAVIhzsO4JdSMXd37PnKl87ZrOhlhd9tonsi6QU4yN
dWKm33xksg+3KOmXcKBiuXcXM/soen7PohQERQx6e5Q1++l0BiGHoqp/pAvHGCTrE7mmE3EnJAh7
PySx235uGzPf5bPSfnBaPd1nyPCKg0H6xC4FsP+Ioo4AIKeeUGxHVgkcW/Y8HIWuWNg5zXwT2zYS
aAquA5kT+cahhYzIFk/2LmffVO7LBpeCP6SxeGijaU05sVLNBVY9RRhyVLP1gpLR4KGpkmK9B5Xp
GHtZcoeosfBrhwSFHanYjfJANgZf0VlD3C5iXfJRcTU+oH4ep6s4iuJT6kLbQuMir+rBdS/NBEJi
w4g/NNXUvhODbsnVIdIe7SZJTpiCmk+07vQtjTPrFAOusLcVPOWdHOd8N9WzWYbIiOMTZjfhBI2V
WCceopaHiqtLE7495sgnwQQlzXMn4u7GlJ1236ec7zTLl1Au1RK6CScV2cdyoXBr3jRW1zzDvqq6
oMKwg1qizSD6UPHtrbnk1yrwbLTObI+NBidIir55Hpam+yASzqt0nPZzrcVdi/Ay4bSS6xAdY7oR
4egN/Ys39dbJlK0Ck6724tOMVBO6mU1g5wsxMSbD+0afDLyQxqRFcLF4LTebCYZQoCRu2/oopUBF
ueMY9Vg1Ve2+0RaEO1YdvW/sBKmENdaf7NjONwPuygRvk4w0H3EQ7sDR0Lfx4LYIs9RoE5PJc9GV
fHlSfef3rpKxLsZRujcwo24aVYlPo4c4BF2oRQVewd44mUZbHGCJr7QadE1E2+VTdEzKgf8gErjH
4ngqhg2omHr0sWWi93crLEcLTWtc6P2LE5tWACe/OGjdsN7lI/mVzFx06y4tE/Fg1sPoBFPNh8SZ
mt+6Q9c8GZiF7xRPtoXfVFNyWuyyItQVrfaHopXzO9fuxwcVSc1tul5uvYvcSyvDu9iaggPlCgg0
dPsEyiigy82eswbCZnmnwmB7VSX4aWUmlMWnaR/dkiJjHiDvVpe2MfEba5nfUrLP7yEu9C9yIi3n
CCOsT7ZKmSyvDkqSKohG0kN9+i1YdICQICuylRqBFtqqEiqZYke3ZsKWy2/wbi2HUgg74btzJ0ml
7Vh6bZM7jTUrOaGaqLWg1GT9TjEymrhiKbjWau8m4mAbQBgCrx9ea1dhzwTKBlByOUG8qTPtwYxX
pN7Ua19skRFxxqPX3rBayNdaz5ouQHKC5KfLrPELKRvS4po53PtNw2mxeZP3oQpfv/NXEeO9JKDg
1htUVjPHRsrUuO3NEFU0/lu9uR7EArIvi9obbXDjE37dNBy8lXq4kiRZx9aUDncloJJM+9imaaXe
dIrbs8bXeWkd6qXm5EFfu2JPHO0aOFUsYlBs6ZsOxshA2HA/yd4drqOyiUNRYPQ17ZJLw2vz0ujM
HPGNE6fvbLNvdkT69e+7BiBBJ5NXcHb8o75pmk0kGuPZ8mJrZzag2BqTeCNQCzj4hWGHGufLZ6Jp
bvKh4zkkJ2y51UoophQhk7/GFT/oRWwS51DfoWy+EtARmUWqUO+HrttMpJRdt/R/1DEREOqbjsPm
9kmdiPlJCEgJsVoyXldT5Wq2leZULVZ0Z0PVPHhzOkJpSXH+ahXDxhYF58FKh6NYlgLW1Ciu1Hjq
LqvYqY5xUi0+pT4lIGRAuAHxk2eRIJU71Xyb18J4EQTmtqmqsaQReCmNvt1WttbAmTYv5jkzH6m3
V275XD970zpnqkk5prN8aHFvMy1LKEhFVi+P7jzFtyp2kp0D2caui3bjTQp4zbSt9+4kn+j/lR/z
0pFomWpOEjrNmIWeHU7gLIsJdTrP+0OuqIYvIoU0ztJsdv04MvjSVukRCbfvTDdXQwPa/N3YKjZL
nRffjj0HGa3IeTeSeuPTmF4wVUbmE0lW9gNZZsU+TZ0HXKNlSLs0oQ6klPPLdEHJCg3rKnVp3NSa
fogMqT0DQ5p2kETVcNA1VEgp8r1J8DD2TQJ5IadVGC+LfUFxYT5mphVW1lzveJxYgGuYi35sw//y
cJq+inzUH2dwf9de6UlUC6V534AAARrqmTuLtesCr0jxoFmOcwN6oN9Z0EUxE1IX+t3QEeQ5z80X
yahJD5oY1WubcRukcDRgNs4VVv2mWfA2l1kfzBiNkW4BCJSDHoyOTUGPSPaJiOr8iC1lP+RtgY7L
VC7rJZtvpKo/QpXE4499kTwcrMHM2CjInPG6NK3oPUlDlBmm2OUsgXA53CG9ddVObnByuRf9krJ6
qck2sQp4BORpnIBW1IAgJw9EBIDyw7LUq0pZ4bVTwm/mgUPG28RzRr6akUDoAkTEc9dVbEsLtKjQ
0OpJXHnRkH0oAVOHlkYDntYasBgsmbQ0xlSBuxoZ7SVg/IxdnSNSKLtdlkMASdVbCzFllznzPsLk
Kdw+v8KFUF/01eSw6tdoGRnw+NXUDxgYsNfafbbXYJF98JiZss956upqTaKzZNA2tlhjMhPXF2LQ
PpD91R1q3XnWpP0l6ur2ExVrAQWedMes75X38PCUnSHGeDs4Y3mz2FQsBUJmht7esMLdyC2kHJr3
Qi8F8DOjnsyNcNTe2Ts5kF4WDbs+KWRvEPy2OPWJ9g1qQd3NUFyPRcEiVGtW9qkss+pGb93yxk7p
I/spsJkwS6bhpeh1hNXQG1/aSMUxrJPkcmpRARytLqvvFlN3pw8dFQ/XLWWTQ25SwVtCsY1D0QAG
lN7cfORtSe9MgqZFLEpD8lBHK4EPBs2AhS8xj/FKgi1zImj7saeJ0C+Ip3N4rYnfyyH6pPaZhpJ4
DWyqTXJI+naOPuk5ieWBGaWKFzQy6l9QTaKR17GWOFuZW9Vd0c4sDH0yT/XOiQdR70xvoqOB2YTb
I9FHChzAJPVdgiyVPMa4jj5ZmsXPeM0MYdBB7mxtzErlNqqMZcg3oudTEtyFXGpTodJy2MRg3fYz
WG/9RYrZjn2jWgkNfXQzoWOkeOU3S8Wd64M50X7cJKa3KKGyrCUAfB++Epsp7zJLVDJC7K6kaIUR
xFVSJK860k/G6JPoRJJgk0nh/5G2h65xHDnq2BoQcCc8EJ++nUxLYDbzDcaTaYDEEmWao8m5BsVn
16HhWXFgQIvNA3pBnHrCJKs7C/1YFRZpRrsHZQHBBFU+5/tGowt00lvYyYRZSOuCKIT6zppQVHAJ
mbeiEgdTw3Ns0Q/pGjXPLnpUDCKEi+EkV54YxKsAmsGjpBOpemUrWnKfL0IPq5EIxFLznJvc8doo
aCBd3E9J0y/7mTZ8dDJHvvReFyqfkaqcT51WERcPakilMP+rrSLgmvDs0vtPgDYbWMC552CBs0jo
/UvK7gWCyERFvPSi/5KSrlmE3tiRujd6RLeQhYezMCgw1VPvcjnlvqL/d5yIMVZ97kMqOisxm+yA
K4ImSsdsBRhDm1o4KIlU1/hZhfdXAP4OGWzljsiqdEng8ikRhkoUNCVk4VT6gONRT95rmapv26JW
j8yku/1UjsZNGbvzJVqm9EHKZHo/YQH81lb/l4j2lhMJmw6d0b9bwz9lGBxenpIf3Hu0utef+Mu+
pyEmReOJyhNOlb36mf9yImma8wegVA1P9J/JBn+Z97D1qeDOIQvyRkP0QMv8T/2pqWHeo/FLSWQB
2CY755+Y90hX/7HJixgFhSsfi5E+8jciIH9s8hI51Y4Wyu1r7lDlEEfV3F5UVDvso122XzhCyHsk
3+s4q55d3MkU4uEzesEvCdPPO/gQhhWAQLi3bW1+zB0lvWAugieYyDxenU1luyXv+96rN4ohl+GW
QiEm9SSepva9WrWR4hMnWhjlRe6lfShEkWXX0Dq91p/awt2xGakOZbTQCs7GNigXLd5UZWFuEHBY
O3q2Om4Eb7yBErrCNNUpuiyMprnsR30IF1u0R93rpheCPT+Z5eC+mF6vfiym2gnVJm0+dWWuQv4q
bbYf/ZPRZRrfl1UALrLeJRdySea92sBn4EIp1xXWajY0jgBJ4mqA2DpPj0VHW2DUSgFZpKA7padT
dlKSRH8kIX2V8TYbdEVN0KeJersgIrkdgKtsmE09oj333s/WjJd3zQprdO9xnl17K0ghiwxR3piZ
0u7NsdOvcaR0h9Eleed/2TuT5rqNNIv+oYYDQ2La4s2P86NEitogSFHCDGRiTODX9wFtV9mqqnZ7
Xws7HGFRfAOQyLzfveeaOQHIaq0gc9cystAoX8NeQUBh9rFzOd9eqaogltQY41tX+PFpjgGoF7VV
UhqZtbtlrTdb3ZdqE3Rtcwzt7PswUIHG/kR/cYkBw/jPQIeotSZNVWXw1bYhdbh+DkcuaJ6rrHpW
Br+6VpJJRzpBIOsNd+c4dbPDCUNBt/TpePOnGoBnWY2uBQ0vrB79RTNaZkcmT+sV+Vmt6Bx2tjyX
46EsjvgAQDWlvo91txn9LZAi2t5MTjMzAwM9DcRerOQiCqu4n+duuYun1Nyka19c6tjU4Wamdvkt
TrPjTCwOIi8RwivDyR4nryuvXWT1a1jfzs0ao997aTzdT61q93XX6W99IMo6wg/eb4bCkD9obcqH
KJmEdaj8fLpuF/QD7dbIlB+ldtqbkveUg+SmXCVvTKs1IGJm6leWDNk7Zr1vUo06gwhqwwXyWm2b
9UZ5Ywj4jkO9o0lKRDxzbbSqQs2cvfxsayfpuAdHh771UbPXgE29Apqs86iXazHNuHbUhJTV0Jw7
XfvKk+dumbvPCaGpKhoLO/3RDEuzC4IyPPpr4U3rGu/eAqrISVPodZBOOJYQ+KL+a2EU66BS7f21
NAdnahGNrX8l1zIdGpnTfYmh6G30rHIPlsn7VqytO8tHAY+3dvFMLQf11uqnL1SyO/dGEfvMzIN4
P/QoQJt6rfNpPpp9grXkJwAfJKEvEWKZGdjcIyo3u0UREvM8PCz0l6NDsxED5+u6h6Cchid0rwZl
vWaSlscrnDZMsitDcoByaYYAKRbylmhhx9Ro0yOPd2dCnmrpJbKWMcc4Gc+7bG0tGjX9RQSELXhc
0K7TcOYr6UV8k649Rx5MLisO2k+E2rxL6AzHtnaWu2kwp02j/TPzhgy6EDCeUxZXE6dFr7ln8GYg
xq+tSvR2zI9FR9VStZYu2Wv9EkdWtTVWyt4wtdMp+Khoqs3Qf9S5sjchEDxHS/OGHNXOXDudEkG7
07z2PLF4mrccLIlwuXW6oYEERIGpQqJok3lalPVuTS6QeaHqE4NA+1R1YBGztUqKMxeFXnzJh3Yt
mYoz+cnw5czsiUatx2UtoqpMKcFA+vNxzslZ+bOqKEVc26oweKakCd3igJIqt7CKGPbYS3+VpYP+
TARN7JWsk41HVu7GZP8UNWsjVrh2Y8WIFy9OY6bHeW3NMnSJOU30swHF3PVeeAguqHGh8d3KlRHp
tX0Lh+/wIwdnDZE/ay6d8ixkjAqSBH1dyVIlOwXiCvzxOOJk7ogqAbJJX+wl6a/bqrx0TTOc09Cr
N05L+RdyRn+/rIVg01oNZq4lYR2BLRX18DZ3IvHaQyWabINKEmy7IoBQ46fiO431I9lL/Q1sBUMX
1swyiosJcgZHw+vUECpqpDs9y4/asrXADKdzuO2dxnvBTMG94XiSsUeAIJcV+oa2A4MFiwo09Hbx
tVhr0QKfgjQrJiy2mI31SiOA2Go61IjexRt7rVVzR4+GNdOIkQszS6NSLsGpCsvLQiPbOsaHugTk
ZAeAiS+4tt1w62fjwwQL99nQLp6KAbDgvHa85WUHutNQyfRkctY/hw5FcEmQ0gnH5RgeWTcRC3rz
uoP1fFmW4Z4WAnSakpkBym6xcbn2PuWzXa3DiYhbYm2xs5ANF4CpYWBcCrJUzK3aJogcB3QS48Lg
mGlv2AP1LHeMA6qNGcTXbPCLQ4OGSUlATiJsQV6aJFIXN1S6H9Z6vASMVGTrksFXEFfXiduyfE/x
9JpmpjwYFPVeIUT73yy/LN9aAOK3btc+dE7lPjLe/GzOArtxSEBtmsD6QXtfDsHgDzvl+uNn2oaH
M6rOa752+KU5XhCIWavffC6Ow1IyLqFDtztndjzsRJYIWPh1c7+swwQGMO6Ile4BKc1+QficrjnY
j+TErHh8ppKF8OxCvWAls/xMFee+cSC0Y/m5Y0L5pA1woibzQhCUTkzNwlh+ospGHgZU6jukCmuj
O8ngSMXfgyJhCUzS9BB0IUeItKP4EEP3dSrEdCXXWsQx7DhMdcDA5YJuBRFi+cGI+RPMknpjF7n/
SOrV3fdW0W94fQgHuXMzsqruZGp9jTv06KoRDB5kc13iL0GzgxQaW+JzuVY3KvT5nYBqeMBhHu6z
teKxHWaN+zRrv2qj9iI6scGdjXR8+lM+7GkT+DqB0YQKSU1kAnqsEEm1K2mPNAZ33rYz5nl/rZaE
aRP5RVJe6f7KB3xpY4yoxltR4njC9YceY/rl5xxo+CObquKqVmt1pbu2WGYfhZYNeKsDdnB5i165
rzw6LwNN+yWzBEbvmkZMajOrvZnaybXPoHfX0sF6TOK1P3NkZHavXKlPVCPASgkoAYTh6m4mMX0F
rZLDp2pdeZgma7mTk5/TN9ha52Zp6z2Fhfp1+Kjt7NYGz/ijzLOgm7peabNi6zaL/lbTLPDVw2tp
ss19rZIw3vJCflRDpfZ5VYcAXmqjPc2kFzdVXoDWXFrqR3wFBCuyRFHfSG0XG3K1HsOgSqUbVMd3
NFgbrWCZeKSBNY/c0EQOLfI79r2bPjPL/cQBe2/GkifoFNPlvVaa8hCW2zSASUpRi8lYIoDouXaf
Dj0Of/gWyQ4/RBux9Wh3eA0fXKaUwAJhul3FccdRs7Y5pfJVf8WDmBxtHUMM/ahZTagDObcIKpsk
Nbqt+rWLda1lVanZQv0A78ZE23zwJQ+kaJqTnCFlb33T0i/vMFSwIIx2uXHiwt7HNVUJ1mOg4yEn
kjAGafMtG6qRyX5Vl2H1iURrUYhz7AZZcdXTVdN8mmhhJFDVv2sD5EZYs1OO8pZZLSDI0vLHTc3R
e8twlFKPOU0oG6TitMdwOuvvkqHb+xTyCtkjuF/4mearwQwQEuEoT/EMezWyRlzJjCKy80AN+Y2S
/Omm85oXhzvPKeZ2z2/EqRKG5IQTRu4ZWYkmSqSu39vYtG6aTAcnD0WWO5jD3K0/eJ8WxnORal3v
XZSS6tLFXyipdMNp5y5he2kr5cAsrNqzUcnqwZzSFP0BcFvUpNNwFGUfrKvBvGXXR6mwYAtjT13F
KCorjl670h9L174y6w5V0aS9IUNb3gVlqreuN1cOLH9+n1nIhqjIKJ475CONa0FWCFmWYUfKLKm0
55O7TDhwNlnZzy9A1++SnDhLRD5WP5LSTbYjvTXxph8W84Z8sb3J+67btk4Jvg4XiDegI8ngLuAp
nGOkUAOCI1OeCPZsddZVnn9KgrJ/6dl6cmbqxtu5XpLHyl06Uvd82HEFG8agcyKJXLsikRGPU4uY
RnuWN0i6y/NOPcZxZfbbrOGPDkvongra4S59EmJAUJZ6gkdlfbGY5Hypm+QprnzzWtioZog4pnF0
bGBI4HmBEAyjeQVCSj4y1aSTMo5l7d8g4pE4T9Wrv9AfHMkF0FNkpOayAYtEW2m2JIAiTLS0u6Kc
y+fclPnnIJ/iQ2CHVkJrmmXTvzv2n4t2oOAITwDVTwLPSZVIekOTep+3OTehbuslaj3AUNAZmAsB
HVT2lmzP9AbAFxW7MQCKtY2e75W/lrfXYZldWmh48BcWZq9Mv+xdB69pZ/tYqyaIg5RqL/k1vtLs
VAHnuEXn5QCrPS4m03grg2b5nCYipiXX8nhzzsyiYcKcfi5YKmyu/Mnc0M273Blzs2xLjO5MFsby
Uq/7JGfhumoXTCuWMrGcf5RasfPdZFnYHOs8thiL4P/k/LluZC23vXYdNtdMxVa1c0l2IZxDH+0V
p5r60vRTUN1ZRd45mBI8DmP0pLJ7Hxu66jdD6nXmxAjAW96NuTaneys08qMHSJi/cDTm577WUn9a
JiPn+Wr0HHh7piqd49ukdnzbl4DYWz1d8ZG0ARaJRKXexumsBoTn/1SCMg/RG/p2STR4X199KstK
P/1B/vk3zkBrNTT+wThnBiaZUNonwdiTMXB/dt1Kpae8dKzployfCz3NTiPLHvlGqpOBnS1OvtqV
cxhz++wU7t4Q7d5NrV3gxzdyWGir7Xe81UO45Azos8P//eJ+chD++to8Ip2Yvsnr/Jwpq6xRAQ6x
p1sp21tfslcEnzLe/v1fgmEe+61Je73/8wfgwmri0Av6MrNJ0PGPZ5R7SJX7j1/zX0nyryRJh0nk
H76Rf5Ekj6/Ta5b9kShm/fojv2uSLngkk4uTChOHGYSHtfN3pJhn/sLkCrHyox3hIyPzmypp26iV
2EBDnOQ4vTGV/0OVtIJfQjOEGAKbC6oRdvO/o0q6f76BBFok8EgSzdioMdjSBfpnUZKgWbnkbmI/
dky6UbaWqpuj0eJ1bpaS8YYUGF5Sapu+SR8PUpoWxsUO1XyohTHLTZnxLCs7+q5h95bwCzlX9qGB
PKZH+dKZJn8PzjUsoSti4z5vteTIzBjq1FBujhkaUfHDAWMbsIvS1fD04alp7Lm4YGVZjmECrze1
jOF7vRhLG2GKFXcGkAuUvJKKrxSw8WuYyPnVd9I5Wwts4GynycgkoS3aZQ+WVZ3d2ZBvHITy1z6Z
ZuQT5i9M0+aXuQVZG8qk8DfOvPTfKSu2IlrlxSnhzn5IUg9rgkGpDvhB+/OAfbH4i8jEh0v+n2vY
x1ewmsP5VhGioXH+FJWqFoH4GOMUW1onPLnO4O6krXkUrIgkniG26tmf21V43/jSvq4nm7cmvQDs
UlaY42FJ83nnM885hQsD/yV201sbu+s7R2TjuVZud0lnQ+/cLM9vBrcnZBKkIEnKMg4OSQpJaeic
5i4I2s996ZALk6hdyYS2ktoH6OnvufLU2x9ukn+zcK94rz8s3LxpYfrrBcxjzxTiX4IpEu96Epuy
fuSEEr9Y67efNA3bCltQqembSLC5056qfOp38IgrDPtGv+w7J19u9KDNN1lYfAyhO+m7pBbFeWoc
9zGe+S9FGPW7LRvrKqHv8C4dPOvaSZS+d4P4KRHahiGA+7SopxF6MgiorJ5IKRitcShQQLczJWi7
xay4pp3eHK/MxXmvveF6am3riL7hHmcA54y4yLVkei522p3snYkUydTwpZRhfhaimb5laeNE0KCm
b7KNHTpe6Vdre2uM4hTxQ47Dvs8mfeGmLG790eBm6gg3Fs47RM4c+0zcet22yJnhAcirNlkc6GGb
ZVgiGwacB3Np7Y2dYZbxawwcuuZbivo6y2+qdB2KB6X9POOV/x6UioNIjYuatJEbqiPDVWtfp113
ZMibgc7szZsYO+19UFvjjVso3pztDJS0qnTJjzPe73CziMS+GFmv7zow6Nfkk5N9tgTLcXLXe9Mo
locK09CzSDv1FjK4vhaiDTcmroW/euT9ec3igc9Gz0MediyAswR8Vzf9HwKbDAKwAY6+cUkhRD/g
F6oPBgUtT7OmCLr1B/ok2JmcqrZZvmHexFbdd7CwydKl75zK9a307PiselM9+0rIbZmW5kEF8ovG
TbxVg1d9rhR/SzG29Grmo8Ocle/+ugHpHZk93sbOTfRupqLxwum4ECC5eKvzwGGfiBHkZQuz2Ehg
ZV1QGw5zruytHXQmm+a0AQNarkd92xbN8vBx2cocd2SWefNNq1zr2pJN/KOhJPRLYFTdc0iq4xnq
qrrNugw2UYXZNEVArLO32iwOqNRQEgcdAjdyhgEr9rwU/q4IUo4Jpmrm3f99634Ep/65Xq0f/zqz
IDDnUShEkn+9tf/w8SPsdkCdWkxurfSMbU/khXY8ZTzmtI7etFZumxtPdQayVoaG42oZyhs246k+
BGbG48XhHmR6U6r4HBSjfC1Gj+lBiNEv2UiGPS/YKHkz1ARbJ5UNxq97mf9ILfl3b0Csj1eLzRm7
1Z/5efXCecYirXQpqZzZ6dzSt0om6FVejAeiq1lnYjWxXthrE1idusYOnKV8hU7vXlmTF2P3ax0W
5rl5dbRvXXsTtprUxn62Z5IWfyp9xWA7rZMy+IuoyM9lSuuHL3ymnkzbfLaUP7/2qWpXEv/kXprB
xWw4dV38g6uZnrcWv+6TtWTLTa47fVf6Y33o8dpkkV3XHoWh2XgmgZBtptBuT6U7YWHxlfGJMjws
SpPos02rhvpuCbrs2rd5/xOaKF6Hbup+jDwm+Ioy8QYlC27/sgTot6ttcsCcXR+gSCEZ53gTtc3J
qcdZ+mzjqT4aAcY2qFz2Lg6o2ig7J9lLTs0vmJ6XQzuN8YmGWWZltV8jt9i2/m4lHeuVXQljTdXa
1o5SwnDvNMUbprpjlzq1QiWQ8lSKMX6pfW519gT6/uPWi2mEQiQA/7uD3MbLq4uYOUprX0obdwot
Ks64CW2VvpuyW/Y5/N0XrrzxuyirdQVZP5rcj89wgJYbYa7GClGx8sk18YtMW3wyJap4JJSXffGr
/JvTYPpRSapPxWR3m7a1R2QluG64V7qt65f6NscmVP/FhcAm8U9PUG5DgqvsGRi+MpxmO/jTtoG1
uhq6YlSXtLR6f0PXUYrgsK7NJaz7A6zjdEOFHG8AB2+yZysmXz18+Q8LekEBErY7pYbytwCaS1x/
0IgxoZtZsRmxX63CR73vFUh+RFjffFt7Pz+z/PdvNiy370PmC2Mbem7l41Cna/VQsx27Geve3aEH
zFwHVCvhH3dK0ImlFeOLCWkWOgaJobf0JvknfNefMfhwevfRXRhjAMbGKQzgjxsL3/tgDu+IwyyR
BT2pmKyao7YWAuXctXDqs3XLuX6vCA/9c4f1xTUg3G+1nS270JmfLSlhQjZQ3ng9aRXBrKsPYSK4
WHO7E0xWAv8bydFq21I9cG7wehyXsJyNCLulOiwK4NoNspzApTQU6RPPgeypM+hEiRaJhoNfsMqf
u4DkC10NykuOKfsWrCUOqwHmJXQwA8z2xRindYODc+0MVY1HVVd5VFWuPcIOZc076EKVydsFjRGV
zWrz6qYVVBf3w+qUAU8db/AmC6rSFqv+lCR9h8QveOosVu68pU5M9D+xPFlcGcCX2P6E8wP+wMYA
c6jMt6psWFd7VRFTYWU3N0YN6zxxp+I8cyHgtp6a5soQM7htKKLOF6tZ4B7M1JY8IPHGQ0QVsr60
7C2PIODCBALbsvywvSI4Yf81EKKrgjZTL0ZTwhI47cQ4UoxECxk9PwTLI2aXXIWZYpcZabK+fQi3
IHJlDLfPWcofgM8vDKKoWXfZttImiiN1U05Fdev7Ff1nTBoR+8m7R104Lw8fj7P/nmz/4mTL8XFF
I/1ns83t9/H1z7y3337k95OtJQC+CUxq7ARCixzoP0+26yP3t6OsAKnNVt/HdS1cbDhrS8FvBpsP
BjBoAx5qnPMCEqJ/5ygLV/inFZEs8vpr2BCCeLP/RQtJe6HHupXOjQ875GmehEs1M3de5C6liVJd
KVpoZXMG8aWsqLHUSOFR0u0mLygPg90p+prNwf7ipkSWGr/ElqL06AjCcErTMse25ImG1fFLX1Rc
xQmrXCpn/GjhGIC3lH3eb5ECKVYfptm6DE7XvNRjPN4tbRhrSK8105ZiIVCJMb2d9lklsGK0Obu3
thiHiOFxf/DYk6PwpbmGc500a+Pb7PBwm2cen6kOpuQYCmsZtrrIzTf4/6zQ5VwU78o3FN0g7ki6
Zqr0XRw3HdaSJOa9I3ljOMg1iv2pmVtB+MVi7HygcI3/63SutM9DkCCEpi7JgsSo3XxLmkQb54AX
2FyJGNZp1KiK1l07kM1DCDuCA3ox3qlyInrhE9igeAwfS9w1QIam1j+yfajVJhfNkjCx7PV9SyaO
aYFodS/Bm9qfeyl7dPrtFJtNr46x5VLSXcV24viHwK2LZO+3mbmY1PyA7TQ3RR3oW8dfSG5s+nk0
TuJXuVF+aI85efm6pogtKAlIPXec4jvnQoVTEbXwXwCcu1nMxrtQIwT03erRCfFpJ21FbTMWnGjA
W+YBBzDSPL6LrdnYj9Qi0gjsdr2DhqGG0e8pxTFGirsV1MLmaHYkbK5wMJXxVoluXC8c6EuLZi+0
N2h4xA9deVM5nns2RdK8teYq7502aruOSFkVsWsgavEliVPbXl50VpJHfe8n1VdVxNMPV/R/F7zv
/y/CJc4UTpL/ecE7lWVWExP9k5j36w/9tuTBsSTFZENKdENrRX3z9/0m5oXWL+6KaVmJPSE8o1XF
+ecKiK+YVRKsic/ftxoDf18B6QfwqBNjAV1FPhpa/84KCFzuzysgXD0ImoiGgO98zH8fqssfjmaZ
l+HEsrr0rJXlZ0Q86P50cwIKktUBy4K2BIHcPHyUheIYuhIIsLmNgQuPo+MRfIS1DXonaEo61BZf
UBBEoSMQa9PUD9wdlThYOQz+hyLM22eFS93dkI1Jcqo16BOPRrsb2X5WAfVVMcaDaKC2TJC4HLzr
MOd+Wfc2y4kdaE8DaN6EO4wBTrsbV6bixpkaoqxdLMdIBAYqQj773xixjds+CMk/LCZFAKks+24z
By69nxaeMfs6tPt024WVdzMhOkXVOFw6cot7vwO1EjGTNcGRe1b2KPN8ftCp2d+2iV1dqpzYxM7X
jUHcJNCJG9WumWDcyOWldOVIsGdSmJua+ZgAfjvbss2umKAcdEaPR5Q2WbN3a9fb2F2K976f7II+
MpcEheh9m3oxKBOZ05aPlk1KPkzF14S40x0dDOGWHK1zP9h5exqpZNimln2fegvnhdrzd8YMR1pL
o7x3fKO8derp4pqMp2GqkwWU2k+/kf6RBwH0coMZrbiiGI64j6fVZWw58UZDmiU3TJDF7ZSu23DG
icO1Oe0UDVi3sWyrH/noUWYIPG7fuez2ktbvLrYXfnN5bODPIgTjGakiFMG/iEA8h8Kwohaz4UaW
7nmcGizq5FMf85Yl1tGhvnKkP91nnUn4sUjfcuCSr27jTVvmP1e4zOatu4KVOasKhnLSoClUV49l
W1SY18ruFgx7yvmP3AodiQ9tmfe3hi5oVeGO/VxQNRmJzta3MwnlrdSuvbNcXqlB0GhrjnHyaaF8
ooooiierkNdU0m7qPG+R5aR15aTKPLOhfS/583S6ivKB0zGBAiLk4cUng/0QYOPGzRbnOGlJ4t+K
tZo9lwyHCuJOB0pS64tpc0X73tBf24UQVzOHY9k6NIpx2d804E9fsPTB9GAbngJEp52OzG3JYZVN
w1YVxXRgBp/sDTVceSBnz2bq3Yxjp4hYeDSHqoaevCDXjFDrcuQIwTVIqHwmLwCAfINW8WQw3Em7
5QJRxNzH/pUYCRZ0qv4yT0N+nzrtnYGwa6FGbcNSXBgjlrs6kN86SU8OLfJP80qG4iT8tfLbco+Z
vp83VWZTtYmRrF6/qfndoHmV3RHAqWUwn8UQ6s04h/FRTqNxM1GesosHmWxzU7ywGHZ3Nj3KewOD
K1DdhC2X6sSTIL5ILh+0ehVzcDYcm9vKOPtMXyMyJC9E4NRu8KuW4kxlM8M+Lz01yVWfRqqHW1hn
t3WMG0B4IQ2gnNGwZVa7aZKUAU653gimmpcgdsoHGbgJ7bZ8zMhezglCn36odLkcatp5tqT32sNS
aO9GtCPxIWc6tbOIiy1ewukB0eNp4DF/NNTs3uI/TWtusKYTk/mIA1mU4VZZWFzu53hyqmsCDLdV
G7xxFAV87i3hp5wB7x5QKwWjQRbfz06Q3blp91oLifGK+tVooejOk6MLYbU1+69dy1tee1y2rSzt
q6SscdPYLpe0mZT0P4qSUW1a3s8su1Gq1+KTpiVI5dfz12UIQdjErM/jwDWYzXr+Gs50YxJfM9Wj
avVjbaIBJ0Fd3TXEc0A8hIyY7xO63U+OxN5wYFDO3LZ0aULslrw5yYIdDvPeHqylrMNLn/s/ZIMV
M7EJkExpUOIPCixqjQjTB0wd6qqJN7R3DhoPDBXBKJyZZ+ythch5YPfVfk7J+LC440zUw1NaUvco
jjPCwLmqzXTg2WKob4VBSpBRTg63BKK6zai/DQj75o0OjsWAl+lai9Z70DywH5025hYpJi49TGej
+6WzsvacLtXcUaLruG89V3+2sUAUYqk0Yl8QhZb+RUHCYN5vme25sUGgqjk29n2Y1wk9Nv1pBphC
lfBQPhJadmgAHkF3pEXMhRsuU/oiA9HtRltURytL0teASUZIJU0LNy2Ze3GdOK2FUYySLC9aJvCr
o8S0MjnjOEaMiYwHydL+oy4EU3bgXNNNP3bdPQqTMknqzvhgOM7LJCJH6+gI7NjwbJJme1Wtmb3w
TE5Q96rhpnOW6i4e3fCHqdMBokMZO2gKxfhsFOVyW5n+CaETx3nleO9uHbqctNH/B1KQY7lLgHOc
3GY80XJY0cdo2fOWOcSaFIj5FPHcpcHTMM4uJdVd+W7kZh6fq8GGcQOMfXqIlfCeeI6EO4mFeT+Q
VjDwcfmSMrUCDfXUZlp/KzAoCBajJH6C0TLeax//Aniz1LjPcq8DiulU7Qv8h+LWKVFauYp7Kr5s
KPGncFDFu0BpQsgh+dWVk40FpI5PeM+rrVWk3KySw8HdohxCR4iRwRzZ4ECq3WyH5g1i4vTiTvP0
nRZL9ZUZ57ivjRyvipGECbBUqlXPiNLjPcgYBBWna41vwpxBAhM2BPpGnPg4+GTvj74xya9hohEi
Z2rqTtJieLPNs1whfaL1PasgEyIKGqe/5AIjPblLR916vSxP3HPEkwbbZNAwC60iXnm4c/zWfInD
Pha7OjMLvbVGwz3A5c8u1M4ydIDQtKlxH8ONDUR+YHnGu+laI2bxwvav56lXZyvtva0nBUfYcei2
pc0FRyP2soGQKHbKdNWGfH+/g0sTisjq5IM1dP22Qze8Lo1xIBEdQ0DTfi5PnS9aGj/Kun2hNnqd
KyZDZzE96JovxWzLetcTc1Mc6NTyHQiPcxObGMkd23sTSRp+9tO6em1oL987aUn1MEt8XEXzWDQG
unLBikjGwjxlvunfhNS4fR3dtjxKjsl0hCbuAujCmZ03f+Js3ceW8xT2aZpFQeVogXuLFEPd2M2R
iBX/WdA6FRyJh86XoIjVuNFIyq9jOBKArV35FaNN/+CGPa72XNvmy7Cwgdwl5jRwLZkd9di0bL6H
Cov4Lq68hMNsk8dfwJbUn5n1et3eQTO9GrphxiJi0M+7tDQiVABMThQp35vLkH1RtU9L8bhtUppf
iALvpgCGbT334YPoQ/N28EWyTUKq33DESfuOGKURBRatzSjErozcdhRvAHlt8HMIcU8Urvo47KsJ
n6hlOBYV0V1mkhFOktuut+nnQPA72XnJYFe4/XaRTrkfTHO4tjDzewO1wmluD+ChBs+Ht4SLNBo7
FNLC69vPCQGjN+oG4z3tEnBY+DaXbiNbMdykti4YajsFBJTYNWWUtUlOWUYh8ndpwrCN8JHUkTTS
kqXFmW4aFOTnMtblJ7xu6cHMXIPzQTxct9izMVRCob4qWjrQE+oS02pKzrQ0GN2+ZoxwDLKQ2jDo
x8WXLvChARABYRiUZm4f76S0vR0Bh+WqMCx5nvBIXPMOy2tbZNm3eMn6Pd3bPUwRNe6pd69Pqkyc
rV0sz5Ih37CxbKt9TRzl3ztK4XM3s/b0X1nw/3NKRqTzOLr+51PyXfudeqo/npF/+5F/yILeL+zK
OB/boe94ABH/cUZmdv8LcG2elFhOOAd7SIG/n5G9X8Aah/wcKwNOGBtp8rcz8kcMj/MsMFyP0Zf3
9zr0WJn+fEYGgum4ns/xcM31MTf5OYbXDUC42Urd50XoMNhGEme5bhOIC2EshXgQFMV0h6Y063ZP
+wnEsmgaM4+yI6JgjAo/pCQfxDzTlqygmJhd0qo3ucFokHHzuCciOdYF9uPVVteXynwnCDKxD/C7
msMWw8c1REOfMc7HJrWJRxyaUAAjS1V+JtJt/Vi7rJoo7FTwZqw2QI1d4uwXaz6iSVj5e7+8YJqO
D8mCj5CSP6zwuO2x5jreAPfCJm5HcFu2ZJgdQSAdd2Kw2hSr1bBYr9ZFbzUxZqudUa/GRn90h6/Y
ze2dwMqAD7H20kv74Yuko3O+H8F1h1uwMqC6HMk7jhD/+2DXqVJuQzNFK42LPbWhzBo4Lr9lq0Oz
g1CS37pErbdYYf07hmh4O+dMp9mm9Og27aHqMOoIdUgzttln86Pv9j0VHLGcv8RzQ7aCpQkQlY6T
R184dD90DfsIAi2ATDIvJjk4af2FdcNyD57Q5impnXEXekVXb0wrxzHvgzZPIj9z5PPcagCZiQKR
AC6gOhtdTXeX4QYQlat4YWBeTD5BbPB2KsqXjK4j/NHdss3djt55r4Si2g+z8u55J4y57WKsNEct
XMAM9p1dtzqDKyNPf3C8EhAxMQ93mRj2U4KxxGWYvR2a1H9Qi9Ak+9Mi2dpz3zwUqzF5bkQcmZWy
HozVtlyPlXeOBWoLWARszZMMkRe4aQhtrs7ndGaPX0TJjKdor2pDXgtaHOcbsx5MX545ok60doXE
6IJgxwchIA6MaS3vRaHS5gT3zSI24QDBQ1QJMg+iQtUJulgJMDIzrLHu4M4laSvoH+LTexg6chNs
Wkf/sZJ1Nm19Q4fyqWxHX9EsSQvTTEIIiAMNZOxftOb05/0ve+fW3MaRbem/MjHv5cjMukfMzAPu
IEGKoECa8ksFJZl1v1+zfv18BdlhiX3aOj7P3R3RLdmiABSqMnfuvda3FLXCTVIGjX9yqjD6CnYT
2ViSuaD/M0/nxmmwiWtbI24p71tQmSeOChHpE8X4ij6ZnhLhUf1WI2/WxynUkU0Guyqo7jJnMUBh
FMNYKXAcrDqpsXqQ+mR0B0GM+K4I4/gBhY6c11E9ADAsmyDnyWYSTd1X6bjb0NvuR7xO1TCc5jnu
6w0kEnNdRnybm2rIB4lm22ig2i2TrwcH+zozXhwH7t005+N91tpi36QuUUShSdyXkMvUOnEreA+G
G98bJYhmushBhhBCYkonCR3wgorbct/5U00Wp2gfCYZJ5rPfG18MMNM8U8AamBfQubPvu9JkTt3V
4JGg8+nyZWKWShGKQuLCFF6Ve4uGTrHnH+Ik9Y2CfZOVSH+EuAW7QNlOV6M2z5Szz/BtjEc3QYxk
llXzhl3wye4dQDix3c4fhxSJ/mEE8lgemwD4oVcZ9E7aVqApS9TZKkaeR+ahnMQTqizQgEvoga6T
/TyZ3k1ieBovz2hM02mSBEy5ZlvMnCubdI8psV04/AFiZr6rchdWaG7VbJlno9Ji2Jl9lG2A6Krb
0sFXYnqJ4W8N5PPRxoomAFWzFW+ESZzNqsP+knxuwAK+JqIznmixDUgNp6HZNqVl8awxB9oYyWxu
c+kY3bEJF/iO2SftlrC1sLnlD1iMNQ1abKjgHYrTlUPtQtOmJcs3p4DHcCBW8PwtOjC9E9HiczjR
2E4Tmrioq4GOQYP5Negoe0hltvPeuiuLqveoOYPsInVoPtPe/9XiFoZByHia76YQ6oCfzT070CU2
IYbJTaei+kh2nyu2xdypbWbYeLwg4kyP9D+s+yxX/bDKabzJOzxg5d3czU6y9+rSfKm76QV1FS5X
kl7B7ck4yLz1QNxYi/I+mfo7xj7yftaypddZ0lnDQTiFZzkNQaNWiZXpWR9y0+1cGxY4RkZEUfQ+
vHsUafKb6OY/Y9afjFldkiH+rpxal0Xx+5cu/tJ339dU337sj5LKlb+4DAeYHqhrQSX/0hC75i8I
mFyBjonxAiOJ70qqawQ8qVOOxSTA4xd/lVTiF6YUpLAANnD/sYb4G4D3O0WY5blMXJUg40q6DB/e
l1S20sw3QCQeyiJEV4tceBvNhb9mK3/RTvrZE4DVqxKxVYFObU2iW0vui05vPAmWRHTeBW9KemNk
XYq4MzsNtF4w1Dj3iqdslQkDi3uCpkD3Fgbgvph3lolmog4rk62r9ncVdOe176DZQzR1vgIWEfYU
3ONeupW1O60QSLR0BASLM12XtRB0YZK0fRky/9JjicWDX6q1YyefIWyJDeHxnD8xNq+xxzfHamhe
JK7O9Qzxi8IARVgeuM/GKB4TU34eGl7esauXrIzfSshjxNO58ZpZ9ZlSr0WAxedxqqnbiqZ+cSD+
rTr69kS68PGKsCWZiObYhgbUsWk8Kpiu2wYtl2ZgTBl2uIuYtL6p1JhWDky2VYn+dCMYN64ypi8r
i2RKPgKXQeBjjfELBUTQg3XjPQyVZWyjgH5OH7FTJhZy3zILWWs5nq4ZAJw5z3bb5SdpaXir2Mcj
ymEVMoHmElSZSWOhk/M5LLMzTu5hm+GlXGUhslTbwlNVjPAAeyrmjQkRYcNA/SltF9yNizLVL4s3
XaDcqU3EqnbA/jDSZmAtzMIvQcZIgQCcC7robkvPG3KDoLsW5QlfMGjHVYmPDdCc314CL0hPJIlC
nTGyeVfNkF9Gj6tntrzoaLtHTxqX600S1xqli1W3m8oFtCk1yJYB2Vsj/MvowXJmTAPQWdjnIeZN
hUlqHU1j8dUldFfKMJ9uXJ+lmFVebAR6XeyGLtJLiTS0bNXWpZIAt+5MXCZuLGSyFFa2fc/9/Db5
ePyQOnggWOPPKPn47md+lwSYwQZpFJux89q1O5T8TL707iWVgnJhWYq69ddo+F6u3zeQGSDDGbdV
N/J5QxS4GPKZn5Q1x2r27OxGyPCNh5y7GnEiim7uTs/lVimXZyGsO/2URfzW8ZLPpuSN8OSBr6rS
+L7ncqExvOiZb36seU5cFwAjbqH5DjgwRaPbvriYLdeOyzfssZmsPJ7G68UA+z2ATeePVmn+OSfg
dxsIYJsMFewtnXVkzGkb3GhczI95C5dLVWOCBAjbpsm4fzfnSP6RviJKAL+3qcXAewij9tZrDbj5
uPpO9PniNWMAtU1dHko9midIH8Wq6EvuMmIm8UMX6Z2neFBNwULgDVG2TXWYgb9N34irjc9DREN/
ebwQjM8HITnXTFbmUX4v7KgeKJBAPkdt4QNEi0Sxn2iXMIdcHsPUK9fX79ZYTINGgBt7CJYlhFug
qJDqmlCP1te7fHbTeUeF4+/b0EqRBGf+zqE1Rg4Tt/P1BljucB7xc2zNxd7ULGMwlhC1z/58uH7N
XT+aPAfcRlNKG2+AOflaLc0We9ESzwavVfTSOAQ+0sXEjj/Hml+MMn0LU96fb/L0CIzjKM86f60K
GdyIpi9OLpCOe3sC7zAmn42QCHYDUMgJV2i6zVyeiH7GrhfaPKcAZuRJo/XfuQ43WZGbxcloMePN
MI5Ze/PXomVxkPTv4sna+1EGS5Lp6SmQiOhRWeAX7RizclABz6ba5ggGZBGmE6Q4xbk4iJL8DgNU
3doNJYvbyFdnuMBTgl6dI9P39jTD9b5CZrGt0I+tSVuu1sBAkav2kqfIrcpDTrV7yF3wbNe1Sfmg
Uq8PLadzRJehceHvjh7shluisa2z0omGuWrQUQWSwbZDa1nXEyBBJ+b744S/YTBYnCbOjfTx0jfi
5Lg0mifgeq1JpIR9zEzqoZd8r1bhpFtr6tqN4dksgZZd04c1ggeOY/nGQcC294L6reY05OZ9suWh
h2IXs55YRhbvZNN88QT0lsLAxVjW7jM28XKbGtGDMXKoK4EVm8Q+33A8hnJm0AqXG6fXYqsIDSNJ
bDJIPJ2z+bfUBvWycqgIGCt7qLFXOPCSz4rpyQaftY8vRKiLHabZpvXGKrnTYdvfxKPgKzThHQZ4
SKXVbxNRQ1Mr4+4Bz6JDrDf0kdDdNe00MNBPiXSYyOdut7MVVRJJd23cVEH/asBr/tr6wxcrFsxs
QnNK37zaNGZEgMZMu5Hlfzx0hKvs/DzliLhqjBqPZtLwzCfWYODRUQA0pRfc+WM5G7uMETdoARV5
7pEedpsfOvqzxosOYWtF5IlnALd8kzC9JpPOutaY9e6hOCi9DYmdNR4BxSPAdp3Ld6XYf+FSoUL6
zqSCKcUlm970TMdxAcPhNeDffyenyHyDE0rZ9NBdtN4vUNA4ZXMxC+/SN5g7bApvhmHc6X//uu9a
VN9eF1eYUIjjsMm8a1H50Pk0LOT+IBd4Mq6GFqxP+rUYsQNhoHr7+1dbLF7vqrfFoYga3pIIit9z
qeYxNCwmLv0h09wgSyXgMwXbhgYn+usr/ecQ8JNDgGmKpaH575uql985BbTt779/fwb446f+1B7J
XxzQn5LIl2t+7p+6I/ELvleTUpLa26TI/0t3ZDq/OB49BcSVwpLYgbnN/uipmhYHAKJ1yZvwOAXg
xvonuiPLfae8JNuWubr0LTKb6M9y2PjxQcH+YhrRaBdHBpOUNHvG+2EybJmlwj7qchBeq+V0M546
pREctLXewPIx924YuIc6t+A+20GbbznqyPuWmeNlSkW6JdCs2IShQ9DU2HCaD53pJZ8mZJwatyWu
v0IeKQKydY8PbF2zim3BJHzti6o7QlAN93ZcECfnpfVaBshL5pm4Uz2QS+4iri9XQC7BrEZ1vs4K
DwlPQnvFqmrvtWja/MiIG+xD7GCPc4EtdYNYD0kcfsCh4h0KHWcY5MyBkXxrdWi5lVO+AKet92ow
5puWgwUiQeU4n2k3VfC88gqNQk4v4q5sNOb1pPNOUzKLxx5j2abI3PPQS/9OJGYNECUMf8uiFoCr
mQ6H2e0hiMc1C3dC3E3jBsVhjMkybEx9LquSY0Ohip2DrRHNxiA/FK5/ExYp2IwpfTA80G8ubvKV
1KO3zejIrfq0tj826Kmo/0iuF3gQEWhN7bFvZyoNgvlurDQybrIW1FmqajpoNFQ2bSLKu9qJ3Ghb
g46mrhv7i4wra6vg1p7CILf3ViXznaqB1Ym5nZmCI45xYyNYAcC9OFM+fdFp72zbEchZ4KbteSbz
C4qFk+0cwi43RjXpRytO3M89otkK4QN+uHYvKzM5gOxVe1P5wTMVfblLksD5Susy1Xe9VskdhM2U
rmKFlmyaunwLE2bYxFA6Dq3TNPh7VLzRAhQ8ngqFToLk+QatzGevKca3cNT+bhbFRGwqGQBbnhtm
AXoEZwYp6inqJRiCqdSveFwF5x44X3dGmQ634IHJN6LDH3F6Imi5Clmv0TmBvppTUr2EU3wAkV/e
ZaN8iiaj6tDDWPWBGJL0PJXsqh4t6w8qb/xbq0bFxanLolsTSyN3D73Rx5o9OZ2HlU9sakqs1DTe
0PHZJYWi+YO5xdzBvPTWSqKAQEak8oNGQ7EuYDeEK2XRpoNz1ecbwjUGtUnqENOGzGO8OnP+AAH8
4NtMM6K+qO8aR72Ca3aDUw1zIrqtZParEzfuY17a2Pg5ZR3buLcCtcfZmNDEHfyx8L/MFuTZbRjo
+cM8TO0DUEAvJ3TTDOaTVYCD8Lr+CTaMuWiAo6bfZql7IeIx2fpNL7foYHwcnK5adAltBoSOzu9j
BaE1GdcxiSmHCv5h86RIGGGKDtOdJvEGrVzp3hRgMVqDwQa+sw8slFz3fKiwcDlJ4TTbEpvppzmq
x24tKiO8r7Wbu7/CFKC3gI9PyzPZjn3wFfIxCrt49lescBiOLcPair78yJ1rpyvPz0HI+Y0liRsZ
MriyAiXJZ9cIUA95xSBKVBbQfjia9z24WQTd4SpAsGHdjWHuP+e6sl9T1PHcKQKy4pGhvhhWxWIz
KzrX+qots0v3KsA2fQAT5oItNGKfAa5kBLUt7JSXnLNwGS9MQl7I+qHHDgaNSpEBfbxn7eMVu5RO
80r5wJg2OWhB6NmI9MoPrqdV6dA/qSOzu02z0RabshyMVehObriFU+98mGAY7dCB8VtOUMmqsbnG
awfC0SUbPXXbOGi8YKw2NQiL3B/3iWU6d5RrEMRjUn1IBAo2dppZ3Vr16LfBdER7gl+8fQno6qFQ
2WkOGRuuGmmXpymyo9ugqtxdOXYWzpelKFoAlRXMF447qy5x1CI+39sG6gie1YT1K3TibRMS9b2j
tyE+ooJIto5qZ8mRzMa4YxTFvRv15aM3uM5959TDJ5vMCgQjpn+LOouqvW7kJp2scN813dxSOfeZ
WOWA/b7Uuv7MHtXcw6V1dqO79KqHWHgrRbPoI/FMwW4CrfVkW2F7tuiXsjkU2ZGSuf1AEgVlLGjZ
mwHmwxcaKDaiMblpXSfEZpUEBzjP4iV1Zbxpwel9GmQN37dDxnlI7Hq6hYSO38xW2HHqCcXLqJPf
ImXKG7suh3srnHZ4b4gx6sScrDuCu6vFmGptEdXMD/TNk23EaarNiuqJtEzUTc7Q7yUElD2GAA4q
iRxH0MIMJ8YMTr9r+Sj8m0l5t7HJEu8zK90gZqQnxet/xAhrr9QSDhWCtnugQT6uhzni+JP44d7h
A+wqvGfZSo5WxNI4Wy+mWTfshWggXgeEYHfSneXvQ6/QyCLS2kI/lQenrc1fF1b5VvlluKkAH+1A
fVfbBgHafSrG+hmFZH3XN13zYEP8PiEdKNZzVCSnNCJivjaj4T4tQXLbKnMWKNhv6GbiE8T46FdU
xuI+CCSJyknrUAnksCB7rxTrMjeB/OGz6jgZ2d6DnbjT3ldO80qQ1LpeWkgotrpz09rk41i554CD
a33GctF8K5O0/Dy2IaKYKRe0GUpxjET4a8CEdC2LXFA8uCTMYdPYxiAVvZWQxstUBGJrAbq+s+NY
3JpGC6uA3R8HigE5Cqmhlawm2T0ZCkzZhtla264sd9r6xohKepgcf11Dh1jPPjhDmoSqgxDqLdof
kToy5G8TwBZNpEp9M3QbyNz2q5rIQ5msKCFuCCEXu1uT+jlPlaMjFx1d4oVseWGOnu3SOrqK/2Mt
+G9ZC1gPFpnBv6/vn7rX6IfS/tsP/CmZEECIbfgbnnCkrfBU/SWZWExWEIiJz4Pv8s078Kdkgv6+
ZMfw3L+0Eqa70IyFKWwa8XgQOHX8v//zgzG6fff7/1X0+UOJwLP9v/+bU8APJ0McC1ip8HiRa2kh
zjCXc+p35190rjAMtKfv/IW9kQJoqrQGCzeyoeWkcpCklc7rIQyr29Ym10RqTU4FFcyDrsFlNzVD
QEAM0wMxIv42j+UEiULbDzlPPiVUmU1ADSBcjKIfaIbljhWMj9AyYRlQ0g+ebz1FwQRA6tDnjOId
2Hd0P0FDGR98AEP5TdmgP6fnJWXpvSFA13F/GB2bWeAxdHsGYsfAnYzkhtS9evhYDVzkj0ZBnUGT
KVLWNkywI9xyLS2T0T/lpuBlWfQqAYUvX/DJMNNBKTe5hUlrzGJyRPKIRDJFGP1YOMGlyBVzWIa0
iJUIsc7m3viMDyomG8ZqiLMHt0WNxxh3aurjzKh7F5X0UHwkS1iAcipf4vEYHlD2wykdYLCvffgM
qrhJ0FIsUGjUKvS5xlEM9S0cqsX6lCw2qChMMUDhoB31Jk2NUH80tKSltxFhmoS7wKpsclAUWot+
P3zzV0kRovpkHcI2nE6PToZu6q5CU8DpZ5XbSuXDf2RU/70VwWYc93crwq+vbcThs/tRSoUgafmx
P9cFiT1IolZiUuczqluMQ38c+xcp1Td11VUq9eeSsMDMlYUtnB+CqrKkbv9x4rfsX2z8lwAzsAhZ
C3Pon6wMP7aMoAThfSIzi4WB/oKiJ/HjwoDmqO6NtneYrGT5vC7iqcey0XbYVsa6/e27C/PTLtz1
xZCTIQzD1eTwcd914UKbxr2LufMcQRz6VFiluuhu8J/TuKMchvFQfQrBKL36A5HV/4OXpv/G2kyH
jIv64+eMjVROHXm752scRuE3iBLInmGbBjlIFe5NFPSIfpboCxyS8U9M/stf/1dnbvnkriKUQCye
Mr649y+vzDgsfPhm5yw3EIF5xoCWQ2DmqW5IlOLlppwN/+8/8pUb8C8vyq3COJnkU/d907OoiqAP
K8aotirUpaBoPqrcmUmioQn0XHW2d7LiJaehlz06uajru69O1cb7zHC4DjWD4H3lhkRPtsYSEzjP
s/XqeAplbYDvQN4OVQB9KZ6JrgNbKDmqTFlhmuu//xzvAEPXa+fQKbOBlHAet971UL2RwD2cUkxg
e4N7Bc31ccr6dNp5LXKSaxTMlP4065dx+798Y4wFMPWxlyv+/8cbxjGEm0xgTc+JHOQFaAs1K7kx
byKZ6jNCpOnRtip5b7s+qYk66v8Zc+56x5gSE6LLIZX75v2zMvh+gTBxkmdyNafHeHlgtE9AWDjU
8icYHsli8v6zmjSMF0sjL2i/b/oF2u0KIXp5tog3eTSqqEh3QywXpLNptl9RFVqvMIWXp3NJNMEe
xsNiUHqjvISK/Pdf97+uSGgQaHPCWFucj+/vWmUZpV8DaDn3Xc1DYkGWLk/4UThkx0Xq/w8ekqUV
y3PJfxGTLpXTd5URUxbSuMxBcWSgei+w7MxrDmnlbe+K8jZvSH8zh7a8reuYuxzGmrzP8WpBr0wk
qX0ymUEuOMP0GNb2RAqrUN6pSwd/KzuqJ/hQJKcWOuEps72Cdo+PIC3b/f0luwZPv3vSXaJu6Nqy
VVACvXtEkiwMek/78hzQVqx3s9s0h+t9Q++s+tQ05FwhVmPJ1VzAHBD3NoxnKA2tBiJV6ZyGQ4wk
NdvP40zqjgyIB/Qa6Ll//z7/i1WQOQx9b4F900Jf8uO1NoAFDU5gybM9E3qxul5mWTXVJykCeamz
5md3NlXyj3e2I2zuavZcmub0pt+/Yt6FKhGpbkF+m+Wt3eX2KxLV5X9MNHY9MacPGMrBaQVxEOAx
HBJcdSP9w49xvzRqTOwBX81y4E4XrAAMZ4m/I5bxZC33xPUSoapj8+KE7Z/awS1vNYEhJJbGBHm6
fKBZ9+Xt319GPsH7j8Un4Xs2uXOxeTEX+PFCzl7qw0bX4RlRogZ6p+dmk7hG8oFWn+4OxRANI9rF
AYyBstFX0v7Ig2jnI2MllGs5dqw1MKe1ShTkhLxzd8NVbBlBHZfrQoZ6mZbbwbwR5gwnhMAK44lo
p7DbCIJwG3oLi34Ti3WEfEUJnoxkEXeyBSw6zyQjWtarinO/KEC9Nk9OKvfK+yEJXFriZSMwm5EC
8SK1m36Qpc6+CKYNm4w6gIhKPRNzpach+qqx2Do3nY6KTdyxf9/AU0QJUZtJ9UAmI42z6SpUtRbN
qu2iIFoNrmtUz32RJePGDFz3o499QaxqbCBIodVQI8KzQ3SgKLA0SMNOeZ9rAyMViQFtl+L3R723
qvveao6q1rFxDDxpnVRIMiVicCbyDGM+6nGQRJtilGrOxkhKDOavrrDpQCimE3kUVtWDG+ZZs6YB
EwUbqLf+cxj1bLsoIW5d3fPIOfiHt3Ue0aijNPC3ruxoDdOetV9b+GXxuvBYbSgBWYiHil2gJRoM
H7TbYngNzMIAzRJktJIkKtyTl7opaS+BjKSHvOmbdti8ConBI9cnJL7Ii8NvWuNq4S5bYRzdD6nf
ffGK1AHLrCKBOSRpNr6Zh/eNArLa4FTk9Fh9GoWYX2QL6lkt0Geof+ozgmdIM+Bg9oi1gh1HqfI3
2i32C309e1VfAdILSjrsF6o07KJiI3q+nnVE9Pueloq9ySUUam6sXODwJkgHQLVeWNUe0GqrFs56
4qRVXRB2A7Ue0DBAuC6+4a7xOwqfGyDTpbvJ3SWMbtUh+CQxY2XZfgDXBoTsqGwUAlZsAEuMtUFW
6AZNpF+9AJZyTN5umhTgzcnM9XaGWIqf2Z4eyzTlShOmUt5iJKcYYgW3Xmskn0jDMw7Pqxwcx9Nk
tHxjOujYFLQmN2xwiWYF98haEWvuSkRtks3UKmr+Dlqm1SfG8HyzILj5UuMEs5UQjUeiK0KURUDG
Vw9I7VMTW+G5d725W88kPrwG9jiiQBDUq11GqBuuI/t1Cmb/ecTh97WdI+voICY6GehgTqCQOKQ3
UY2EgycUhnpu8tfr2ubNceIobynrgufeQdSRAr+7BayhLvjPlj9UZv6p6xboJstZENDP9fNwI+WS
6RoSZdbSiabwUULwD1DNEMDu2VycRi0ZEHAn+RMNwLB7hhAsMRBLvVNYAyD13XJ6/EPFbLCiXtdI
ajjvFNhsom5SN4eg9Nqvtb9cyqVFf2nbnl9e323e97TIzdqaHkrKTqzxdqwf6mstkmaO1Xwo8rQ5
hOEg7/uZb2Qg3PNWq1FeBkm8o1KJfuxjjhvmEg5NM5ntuZtISNVL9agV117mmg/FI8krpRH5tHHJ
zZAsvxoaXbWrMKH6FOlgv5K04kOnojyqMnbb2g/rTwkZiuZ6goz3eC0U5rQu9M2UZM63hl5C2Mmn
pubN0K5NiGDHMr2OKYeOzI7EPc17Y+2UAR1OeNrliduI7+4aZV2UNRtPW0JNQ4D2KBJBEV6Wtb+1
EV5+wsHIbq5TZTTbQPlU6e28BLKVjgZp1ja884GfIWuVHsN0qo2GtLRrgdMvpUpK0MPXb4cfcyl9
dIIyfJPZ2spQExN4vHIrZxmA2No7RbltvUYuWu092w5vsFIMPxGMQETfIlMOPmdGxIsX10dIBnYy
7QZ6JpRB7DwI9cezZ43tV6jyfEcV2byq47d+KNmAC8tmbSuXo0pK72UvtaQwoKt1dPim7wuY1Uc+
TnlrEnD4GGtsrBDHM97t0MfEuo3suN1ye9pFJu9FmLAzpRZhsttkoFy1AMX2dxU6ieiQQ1SjSnNQ
eaOonD0Y8PznpAIMELjtUq5ZJz3/eRpi95KkXp1tu1rEe4aW3COQJu1XrHJc06lC5vhtEUgzc3ok
QpOrkjFKOWGMMY+1zxNWOcvL54gG18ny1GedrD4lEl4XmYfNgXK/PpBxy7caK1QoGRs512GkBPWJ
kn82FqjnpEPntfE6nleR5czY49kgftTmiW+alndyvRMtMIjt7RizBNggPqatbDIWHyusw/bBn8BY
Hz0skMEqqS2WJoU58JA39Nrjbp6Qs3IcRSjkdBRFyuupgRRzr49aJDbBy4m8KMPjDOAnHEOsyZOX
kVwk4qmVlkQmBIlPHGfsV5+csKJ6r+VItOfyCdmJqJFbhxWoKRuai8uBFyR59WmWJo9oyBE1ZukW
q5Ej7aWv+YclogdzixyNFEssUtm3ivG6bepZcEdVmYEDwov47LNd+adCeYSm9woSHGHKj9er1lTD
5G+SUWbzplneTuTwKdKYKNmq73heiyjEXptCXhWzNoONa84mSoGMzHObZv7XOk55uJBMszpGbYNg
LOKWZxJKm/ExigPH3I4YZw46Rs21tf0+sx+nZlwCw5lxzmujEfarNS0rC3/afy6WsV+W9dYxrUuD
4BbfG7Mbghz4aaJAVP1RCjVyiwQpF3peNpc4ua59k0qMfRlKFnlKkXA5klukOaOz5Z64XoBva9Fy
cIeUzrqwLKxN6LLjXO/dIFzsCzCbmsOEEupzwzZ0vt6fluqDfUIjYD8UtZXeofnlFvFE3xyQ0g03
UaiZh3y7IXKwMG9IclPEt83QHIiC9RHbMRcNSbS7XO8KB6jVvEpVIO8dUkT3si7kfWIv3Ya0NeJy
7RSFLFadXbASwXswCPdQNCEaO4nnVbx8IGPMuftiyK3rxhr5d5pCiJBlLKP3hEQ3B245ebEjpxw3
yN14skBRsMOgvTdRcnLTIA5ltTdj+cGmz3vmpM5NLQwJWKQbWbSvK6CVAgFj6uJysUkDXbZvJpTI
QNyRx2bZgLA6h6bGXDR0LApQpgbooIZHonXRL+826TseM7PWvG6IrfUxJ1XWWVUc1Z59hHfPoR3y
uXs9YBYcFSz9DS3laaGwGBVuHenFEzjioYg+yEWXcSwWt0cjFrCgTT4v4cNxyd0uZDA3l87uKUJC
I/Wfr/Piglk8n9f1xwerV+7H3pvyDwwBv0RGYKzB+7QHG+PiyoVbeDumYfIWgjNbuQoRiulwpF4P
JWAZc2J7ZITHjqTjcV6TzNb5VCjaeU4TzXWOK77Q0h7naW9AdN6JwtMDM84SIMYApZ/pX3JngvGS
kF7s/MjJfjoUEtnHmrC34i4ozfLNnzLqBUdNLIYUmVjMWoX1cJraTtzUy+J/A1iFRqQfRdRUQAQ5
wWTMZo1S0YWhy9av6ywYjY9hovh60Nryv7UvuUimDcSUDuC48syRBadZFv96oMbJl5KujjzSYMAp
7kngMNb9MtK4HpQBR3NhTJ9H1Y/qAudew9sLZpdmkyqpD5hl8E6RcvL3BcxrP9H9L9PfS2pMdhe/
8rfJsodLhsPPyNu5g64Hw1CERXVDbCloiKZjTSudyQ1u6acBKIhK/xTDsDwuZsD7cLL9Z0l86lc1
I0t0CLY5cgbjey0cxf7ZYA5nchKyWs1OrC64CbL1dd30k3SJ+GXD3F4nNZB2WdSrgFB0ACdxvsEQ
xxo9WdWna4Z5CcHgtal5hLoMsUEcGLg1SnvnhMvKPM8lOxBnu+ig7Cj+3Roc0d7aVc8T1y3iGJDS
/sn4VmHU9EiWlOEclpt1hJUm3CMHtqk7tJxvEJv3zb7sWmKPFmYgZ5XOfhXpLC+eJ8tbPjGrEn0e
LomLRYxLGyhOErnDxuIM2rlEdKw3c+2ax8qeeB7mcFkOriWzLfI3B7DJii5ZLnYh+ePe1tGd2vHK
0QVZyvQ0gWEiDErHT1UfppuWJ4TVmdPOvGND7Ikrd3KBjNiqjIfmatOjnMayZzbmdIBwYHzpK9P+
mvj9/DuW/gGO89RSbo8ZSTOOVreyasVJLv6/bHECItzDFNhfDYJ1XST1ti6n+sY2p/g+djEHhIkT
/5pXXfiRAOBhWvc58ph0sR3CwNL3vlkFT4BH0y9lrfmb7KtDMb66FckK58SakQAvF3k2wm4c/s6n
a1vhP5rOn2g60VR69Jz//cz37rXR2Wvx9fu57x8/9Md8x7WJqyUv3XHobNGZ+Y6g6fqQ5gRLvc2M
/zrH/dMpb/o4vnCQMPx0bFC4pNL+OeNh+guzFjMHQlHLXXz0/2TG82PbDYe+QDrK5INYAsJLGCf9
2C0qRJ80GIxh7YZEa6+CwSpOIQ7cpxwDISZq2/5JC3f5C/9qR15fkN4UiS6Kd452/d1QqUMwSaSc
Q5r0lDRnQSQpYZXjzzrkP3bor6/iLQw/xmNgJZR6103sbEre2iZsVpMHtB8VfXk0TQMHKqvCRjGi
aWkbVu86MR5bJj1P390DD98+zvczdUCB//Ix5TLQRz3oKS6y/26c1ffaI/7T7Q5A9rJpRzzjvGO+
JQ6DxWgFxEnD2W9aCheKC7mqAjPgaFzFuHoYmtsfS0CqrCUBY/l2jFjcQmllK28eUzK2Uv5sVmqK
EjMzaDJMVYKVC23t4rX3tH7DF5Q+momXbmaSGw+kdJMA75JcmDt2/RLEJHsEQ07dUYWQKmniANhg
xgbSUtTMTeA9VPfNmFLQTxzGO7PHNwTh55XqPhZYswf9hmx13oFXG56zHk9Hm1x9Igb1WBB7GLSx
b58iBtK/RTHjCRkKfnCcOPe09WLocJzg0R/cvNsMbUVZs4wZcgDHNGpxicOj3S8BAPhP3MWMhUf/
otEobOD4RR/sei5OpeVD8cpCBSvPjZszDmy6RIOLAhDijbdqUfXczSywh0DkS7sPmhTa1Prc5h2s
8B5tELtJdrw6kKTZDc+JyIfnOpmdj3w7aju3pIITC4nuGOTeF13igQldjGLxWOinqAvKTz19X+LI
qkIcUEvwDI1NcGN2BYc7YisOmLj029hX+kk0/IgWTfurU3K0CSY29zrsOMpkc/tr0mHYmUp2/Tz3
uCKcn5ANcSAEdecw61+Rb15t24p9nQhgtS1rlT5WTuQznCMALFFl88XCOgHlRQLapvoBxWpM6FML
q6+/TC2Ps2d0uGTiPjuWOKrutUvtMvUJB8nWLJpiKwBDHSsgAsC28MO4FjYtAzn1I9sKRRnQpXv6
9qTA+OHweypI4cW+mO5yju0sGrL8LZ7q4TmgLfH/2TuT5biRbE2/S+9xDfOw6EXHxBg4S6JIbmAU
KWIGHHBMjqfvz0NZXRIzr2TV67uoKsuSMiIAuDvO+c8/XEXtyEfh53MhKi0nmrniiGbuOi70Zjda
7+Ys0XSx+Nn6cM1WfZRWqBSBm1Z4F4zfrSJTFyqz3ZvE5UkgEApXbi3UhuxhXOJKMXBfi0S8BCUy
mHmK83zTz0ZW498Tx/e+GbevBPwtV/WUqi+YWWBc3rAZyq4tdgas0jczpxnJXOwN0gTlHX5i5Zqk
SnOP1S63Wi/RkrS076rj6pezmLFdeBIuDeaFa7H+8fIVT7ACY9jTxdPEnPyYZl11k4Tv0EtoOjOj
8tOVjCv7kErv2bRV+4iF//CQIDMHyWbWe2GbTbhxXbK042D8jluWuBa5x6Kc8ZefUx6UHxg9OQWu
uBGV495E/eTdDHAOP9eZFE+D5xO817usVi1RI6G2eXYqT51yQNZPc6hCwSwuxKcbVf9LEuJMss4c
vCaiLio254sLUzaBbKRxP2O/gIFURvbKFCr5VUijuFdkRSIoBNBcW7BUjzN4ytqfzGzfNzYRPHMM
Yc8j1PJVYNXAY6qKAZt60PZHgmmiy9xUdCSMjFuImjZw6VfmE5gKPY1NPfWvWTe4Txn8uiLZj85S
u3uQBqPeMq2fhivVTrF3xFVjcO9JDFQrAD71xQpVv278gWmM5c3dpm0XIgcIEDNXvW1H9Yoyk6Np
qK+HJkKYwApDm1Xc9qY07hqzvDe84dpFNb8L08C7W6DArrxgdq47L/nEYOO6QsjELINNlNhLeqjs
4gvEJ2s7lISaDq76loUV6abj8FakNhFkdfKKZjklNc4HF7YGcUke57TFf2+GMJD0RPTIlqmaJLGz
jXclQNSRhKFoY6kuWJeBh7WUSLJrF371lRGJUa0Jxz76eXg0CpiyWdmScSfIZD0gAiG/15jdNd5r
HpaAxdisqrJ8x2kB5z7Hq6HkSpe5j1vfqzrItnZlRKecocMV+MpESDcbtsUw5ZSR0rgdiFA9LIoH
aVujecAFY0R716i16J1wS9Q0JlwOPnJjbeUXqRkg9DQq8zR5WbQfEusTbRpSSBSwl1YdOeXW5t7j
QzlNPtq+yFhW1cIzXCVlP+5tkQU735qea4xCLgdJeCUR3sMhmbA8oS4AkvdicqNVLMlbmIYLWmPe
ebzAQxK8ec3hbdVvoXu393A40Jr0hcSKZiAQgbyqfBWF83PowWmenGI+1XMyrsKyKJ4iI26CtT/7
ikigMZtQbFNxk7ZAcsLoOlSITntHdRbu3IGh80FwvuJywiECzb4QNvpo9tWViyT6NC0EH+MzaB/s
WSBTTVN2ldwmaDTxNGMFYk7iHYXfzV+WycmRNeMnFkqEHOUGWLI5Wp2/vAicUg+2qpbPgqSaBG+w
iLgeLzpUQ6xus8JZNmM8tMeiEiQY2GXFci9G1MZJsZVYtdwF0i0oDmCCrZJuIuVYhKAOY7WlV1pW
E3mBG1ro/BFeMrZrppp2bkxDDu3N2LUpE7ghqe5Ky+BdnpnTIcucGYH5OG4S7PQeyjCxLsqMFc9w
KD2E4xzrBGG8L6IGEU8xGfdVP4fXVruoIylJMISZqaS41Pn4lgEmXqd0yJfR3Nv+2gV3JVAUp6ZN
5abFFXkc1oFsG41up353KpfYeRqwGyZfxyMvFkixlKdUJQVoKGkN30WlbW/doPaJEwWnJq4bca6o
jO4Cwab3RHBqlm2WIssvUejI18rJffPKki5jy5XFvNJ7ihAD7ae0wGrUbGqJ7HKmEQ5Sb/zWgLOu
+3LSdYFo7xCUaNH8WBP4PlbZidRtAh4hQeQBy69KD50zdpdRKxt33c1SlivsQomxr3E+WedgGzfK
JtYeLrP4ZuMUiY2MUIV+Nlhx6hIpzx3eQ6W1QAiXNa7GscfhLHoELshl18lkg4Ew8EQ9LziF32v6
x41QRnzPcFDvgYIyISBTKwbc1alQaVahiRLezUKA8r3RCMZIY+YQBl1kBY0l9JF1RZGHw4o/i28z
iYhim3o8JPA9BmoDVeGP4qvNgFFySzG1yIMcwToep9TJVVwCcGAJuaUM9T/NZNYzOqJgrLf2iLY7
T+3ygCKjviw7RNg43UwbBOMcxl3OqAQQpiXB15O83AG7UXGShvuQ2dhyJhWVBtbK4jpZzr8iah8d
Q6fxxG2rD2XMP9/7nJokQ6teHqK2tW45Bus3R/gN5i8JgmBJmXj0E40XVVpqrgiButBJcg/kXfPs
LNA4PKKqTl0kla9OjPG5/mGckJzxLm8otp6EJHlLKl3+4nDxFPRzebAll+AkzJnCalbvITzqC/yJ
m22dZxEj/QlHfkWSAFIPvPsOBXF5d39oIj5wb3QXAxAW0jTCDXNQp37olbwBEnmpwKtmptprFQCz
MROO1K5RBIkKEs02UeoE76Otxn1GwuwO/PIlzMXXqU7gqWNYszU8vJMHUTVXI0Pbp1HDbdniFCfo
Os6zjf5rvhKJqMdTl6bhIfaRv5soRcms5kZWPMJ9EmXejWkheurmijpBJwby4l529eyok5tSRXXt
MOGqwJO13cG4Z/TtfzK8QL2TFWAiMqhRUuDioPE916femJryMAwsnJRBLQ1MiN2Ai0khImdceTAp
1LzcHzXSXC/tXV22+llGulwqKKSiCgm6i2zvk+sUCA3mWFwXcKYu86Hl3W/R6iUQHR6SxUAsFaEj
eO6coYAvUC7BeNnGU8JNynDVNYAXSc1LitRcA+pgV7F3nHxwOsQHvSHdDRdU2w8N1JQVwgZRHAIf
iQ5qmDHbxIv+P2IKqXhj4rvqr+PMt8Jx5VHpnDCskm8I2WfBKUgthWVWrvNx9UgCyl+znVn8iGJm
SqhgtjBQVhRXtDHmnq6HpY1Bylczp8RH7o8jlmeQs1hF2EjMHQVziBzsm8qHYtdlIJcDzrQbs5iW
fbz0FHKofYaHPiufA+yq18sMNskswck2HYFdFPPcu6iYmNlD3cMuw0uN+y63gSrZsHcFkscLxJQI
J0KvLw/wAZsXxhTNi6ss3sl2adto1XmeTh92t3QA4aXCh3o1TDRbflmTZYZz79d5tpyDCTvjudc1
dZ1GpZ5IwEBxl3JmPF5OA7bCSXXoZE61SM4TBPAsuKucbngwtaED/MTmxZOMhUyXylZYdC0bJC/s
PEib8qud08jjcy+u+yALUBu6c/PSxzUK7rCnIo1dl+Ak1CTsEWkOtQUngj9EYtO+kojMXdEKEklV
vvJwb9jXKWdRK1rQEHtiq8+RPrrOdiWewmEDs6b2cVJBeGkxgnuWghFbAlPpmKkADwn43GjIK3WB
D5S3bsJ6fICAT1s1wZoPdecN1UxcVwV9eZDRnoRTvbyH7NKFSIsFKNavbsc5EN+gXNLmmB5aVO0s
U00pShSXD60NXbDoXz0zf7dWiCRZGA1DqUvlTOXB0lt1ppPlRVIwCKNJfUZ9NOzmrsr9VW7i5jGM
GR2pbhqyGYHTJp3d9g4vRJ5Mk/MKOJ+Bok6AvOmx1anAtxHKfDfRT0OKWgFocXU45Z2WxFdX8wiq
cV6G9kzry/Juzf086Ki8hE7Tkaq9O3fatcPyqaaghOZAx9pWdB9El2d73HIR6EIduRxi8gbObRlm
D9wGt6WjAOjh1msAhdgitSsEjTjp3u9duKirhe1WrxmB8hKYZjCIMAE1MMVc3LfC1WIfZFPUh7wK
h4ZZa6uFCCkpVkxPSLw6zAtXBHeHcUGysAWbCGKAHfsM9ZLC9NZi0KO4nCWIlbOFaV/Fjknmyrux
C9/7xIvGJFHOH+XXPu9AYhbM9x5xZASg8Aj5eEUlTcS0iVkLrhD0y3bH0EI3tY7ncqzRScXHc4eM
t5q5CmWg54OLzr6qbJrsduGIcyy+/tw3B65OxyzAzOoGaodhGt/h3+gyJTB4fGXFS6qVZrH7sTQz
ICPMNspD3VjxvWmV9aVobDxZcEa4DHvZPjYW2AUqLbCMQdcoE4yQm9Glwl0nZs/hbkAjgfrRPM8J
fJTOBOefAs7ZZiI0YJV6bfdqIm5dT0WBzFNStm4l7mf7PmdP6/XcdvoYlmTVnDC8AAmKsoBao+j4
16O+VcjTeNGmGm2c2ly/BSiMn5l9VZwTg3wb2rh5Sa04uQkGRJ9Wp9cPxJ09JSYgkM/l4BxcHs5l
RcgsD9i/Lu6raaR7x9Fu4wcWtA79bsA7pNMpOKjjOPLp9wGvRsNzb4LE8HhVTExH2og73EKZ+Hx2
tNEqFLgXVCAubcj6PCMWviNX2cCDhEBfHhQ+opeLgx+LZ1M8VPoZYHlMOK6c8GLqFuaQFdPJre0m
I6FFlCeCsPBLsyntz0bFEDTmHHtsZCieUr8kIENHu5+hmLEHLAptEaP1TjGqngEyJKcJRkCGxIsz
JGGXacKyH3qKzIqNfcHkGvSJbMmagK+xeSYnA2CQeJoHJ4sp0XoKFsdnamgD6m152bN4zsfsjAP9
BR27OuGxl3ylm1KwfuxK13Fypvtn/nHb0Sx/IWpg2RtYMav1KEdupsnxBmsKP63I4a3lj4LaGoMZ
YZjx/TyBU9jlXGUHWBztcRIl4I0+KiFnaqMgpyCREO16iZsyaAMsAwdjQ8pdWlX2ZAcqiIBWXQUR
Y10cgYfvQR3PF8w/S+S1BRsXb3IElaSgfZMVQ/VVK5fywPCZ4lEQI2wH9fM4ety1JYAXYIeaBTkW
3IO+NKlCx6l9pCrBKnmYFQGgzP1whLXhEWEwZHLITi3lRNPEULUUAXTjwANXYbFcFTZQ5vkfzxuT
4B9eMQas+Vdv4p0qeKkccP2bb2ebvFCUQtlFMzVs6Mxtj0mgeVUjdoA3rggWfFwRJ18JiPiPzhSo
3SyL98FdGn+bShqHM0AXSPHs2nQE2GszH5+RjuLYugwXNHBcMd6P8Bv3Q+g+LV2C27VGwHFeF1sc
ofiyohnCYx/3zR9kDB9T2qlWLdwdmGYGKFCwtvvAih+Y4VY4ivd7NwMcJsli8G4COJR4m+E7pVyO
tjSi+O5he0CAbPCXlJ6zR1b1nMQ1vUvttEfpjOpUT6J9hGXp3oyZPX/hSFj+xIpmfiJ+HUNYiFsc
rPbQEMDK/PBjQyxvg9Fw5N7IHFNba/uflKAXw0w2vTEGGhPQCgpRUj8ghPTQbkygjCNMkOYlF0Cr
54f9+4L/PJX49Uc5XgBZRP8o5DsfZyMJJvl2hE8qIjkHLx3UIjHePkOruTDjRdcN6Ybufdky/QWb
gNbdPuaCp0sAJJ2cOxb3+cSicnR2IgnGzZvIMJwIodtsOWUpDI2uaYne8IzN73/5P3QqqEjOTz8I
ECZo78KfmfKdHRVNoi1ZCWNuj3EEbgNyr2W3MPfuSg2+Lk4bbkbOxGepeIuQxkxfOPTeX7OX/xlV
/mFUiX+R5nr/96PKr5mkoJXZL7bef/1bf80qQ58Yey2lAY5hC/w8q4xsxo64B0WRy9iO4SM75l+C
NPSoocO6hb3u2lh48zP+JUizmXA6AdRrH2gSFcV/ZEGjN+W/9wdCjMhD9oH2zeHTrL8pVdFQpcUA
qecHL65jRHnrWUhQF6UgaPQdLM2fbtDtj4/+eY73T18Y2KhsXC0R8C09zPxJAFJw1cIWlXdy0Oxv
rJGaa9FCG58Eon2iICn+/vs+ShL0BWJ+zv1ib2Pm+WFsSXjWIiOUfaegSf0XLBGt6zOvTnq8Kn//
VR9lAnwVj5pnjXaKIfLHwW+XTmkyFJZ7KjRdOAtQ1SHhpwQEpYcAskAfDoocaoXmlP7+q//hKllJ
qB2RQqP4OytWfrqrU0uCq2l07knaKGhILtKKIY+erILpV/1h3vzhaDovGlagFcEetmgfPuoh5qaU
VTBn7mlq0B3CVoU8tZpyE97e2AcQW2oUA+kRxyGYmaqDzwtdo2EwNpcZDGybad5/evk+A3foACEz
/MDVjq0/L6rcSqHkJrF7CieXy40qTnBTT4P+P78L+TgaUZYwC+fDgkpyxywRY7sYPE9Qn11Dd3bV
fD9oBuDvL0vvhV83p4/EKHQxm8Vdgfn+r5eVQRyEKTO4pzFO36Utoy1cy/9UAMaLmirDts7/yyn1
YUMC3rkBJb97It27OeVYQpL3SM7Y2oIm+CdhpqXvzsdLcphi2SjjuYUftW8kT1njYljOKbczeIBn
rZcVGxAFy47pW9gWkDd9xSbV2jiV9s4BNNI5/P7G/sMKhjrCsWfqrepCC/n1zsa2xdyQduc0h719
dHBuN4gWpU8RhmSFwtGstkVhdz7hWAOiy/Pm9bRYkxPkT2LZv29efoPrRC7mIBxWH1VTBXOauSoE
mxe3zPszpW7CsvME6TLa/v7C/+mrfJz5EPvpUu3jippFCBs4aJ1T5nF7oyhhyxLBwFEf+jz933/Z
r0c9x7frwoEJIpc3y5me8utNFmmPIVIrjGMMnXnB6KNDEkeO0dMyhfPtWCtOh99/48eCma+kVoIF
4+ObzAP+KPwVxeLaaHOjoxnT25NqCodQ4st47+Oufp8xOq62Z+JiGuYQoBO2VAWUdgoMcrc2OGK1
+0U7MJxPkB+sdLVA/IaIiLXXJtMM8t//ZO9sBvHvLYE43cc0TettUZ87+GF8OFCwJMgBVBz3KEuT
UDMdCNboaLDEksWA6xFpsskaXmNHgFiTC+VvLT7sroMHTpRTXkKSjZkoZKiEGYwuTtW/zdip+Ksf
BFwbuVW6gcQGYdyzmPHjBoRk4czPLEns2AOH9m+dJv0H8GA6vMqALCcbEL/XArswcZ1jl3MDVwpq
6i0OKsge4LNED/2CQ886ZYpqAXZ4fLQMUqDDKkr9Yl12WYzj6JA5OOjXLd8RcqcJRkRG0gLRMx1z
bTx5tX5Apg0rRLggqsiL+uXCgB3o09QiI5R9QmowgHCdHosy7d8QvLVPgahtcaysTN1bIVWLAbQM
LV0USfZsqYhHFiyOXxSrCSr7Q0sX+0Swnf9CdB+r3c1t70VZEVoeS+g3NI3sC1G/9qtYYns/4kV6
3/l9dcH8rCWwMSHkkPN3JNGEYIhqfRZKgBmySTUXA/teY00S03xfomx8wIYS9EGLVc4q1zOZFlde
7g8zv+BeymR5sEdUMCLSzOWzL4gFc+mtqBJAYB87WrgyMcSTUHW48gjF38IxyzkwqeFTKs0QXnru
GxZlMEjPb7maN/VOSB+XV0ZTHTMGLFdRB5A5Bisr9V1EVLVaAuw+KUzOcuKzTsjMbYi6CP/mLYbh
KBzOWo42a1k1BYYpL4FfcDdVnose7nKo6vVownzC0pTz0oCKLy+YDKJmtWetVacfK6ptB9D/5jcp
+68xE0VEyxJa16mBRm+jvAr2ONojoAKGlLxvfthvWbXDWiZQKnqQjIrlBd5nobb9mW+FFfIu6vsA
HboqeS+vkP8BURChCiUpKBcmvhlq07FpvRcf4R/uAnUXlRtPWd2nxFns/YJfZ7CxE999rsex/hwu
mboqgbg2rZwbawXd2Ap3VkbqXVYS/JaUWvUkGSVAEVqagWlE7CMkWLIJYBMJH8PVXF2TnWueGMM2
AneQKFpnnkSThEJrrepFfS4gK26JLhHiWIDnUBn5BVkgpqzvYLfjP53HQwW3uevfQ0CJg2cHwzUO
9AM405xjrELws8CASgtQJpMg1VWPNv3RL4tO7nBh818xPcEuq6/hb6EpSnZQBAMc1waRbay8qS/G
Zmiuo3y0JgBQmT4nWiyI05W4IgrGv0AyFZ8IAAnai1BO/pNADLDDyXd5xjWmOUIOShTmFO7yzMCo
2OL/t6ylNfIYw9gb16Dh9XPOdLMH8EGdWphdcKGLUdr5GXkmzsaVsW2pAVd4WlU7nJh6fTAhWGpA
sQbUCQeU9+KQd6ncKW9Q3+OkmbapkRl3KmqqR/gYhFCoul+JOiOLu2XkjKXdS9CTNxKiydnETJHX
w9hZu0o0fFBoIJVBWwkqEDfNquhw/QKuRCrXryFUB4636vAhSBr95MV0SaUb7m3HUt6mzsZp5cYx
X+SWUbxxh4RpfSMkCiIJ8NMoA/pHM3wRhd9iM1/LHcCGQtRivpYBWXBRmRFeG1nzThqxsxlKfkdE
2sUdb6WFZCGO90vfbUn+TkyeaIBg+hKqdH1r9oO4xQmERW3A/uhfzjJHw87ZEkT7evO2EaS8nvxZ
M95tB97LmtO2f0s6kwOpWSLrszIXlqzZI7rrAlw4t+EwezhvZemM9qPBMnxVoRpcGE0ZzVNsufPt
mZwfkGy472XE+zgcvBi5le02p6Yr9adZs5AXPyxDOI0pzLQvESM+Dm2JAm/jj3DMR+Gy9Qdw6707
u1hYnHVyQrBsST0cGzBMZAVPdtMm1HMploCWQ14ds/BUiurZI01RvCsxuloFSdBZGfSSsbA7fUc+
35IsXhjeV1zsCbJMI7mHqQn4DR8lG1Yl8NI3OfZgSFhle26WEKWuOD4ey8UYjE/ZIjAZCvFIvh4h
9q/9Miu26TS1+9zwl52CKvAF0XUVrKLAnb6MXlfdA++82+XyONuudVP0Nhx7IoxKghdxYHQHYb8l
fZq8wQ+YPiUDAPotO55BMhKSCNVUMC2w7rA8XrWlDI7g9rLZzFMpGIn7nOPrAtsynJ6j2Ty5baOu
Wkkalr/MGZFFsL2slc9TIFoEPOHBqEfSlnE8K5lRdi6khKW8abGhvq+ysF13DOxe8YYutw12cd+a
yB9PvS8WxAOxTRyyDJ1sXaQIvSdi/gjibHHHllHsbfIqdI8oq7/Fwpg+TX1SYPkxmFddlnjPxeQX
ybor04h3pc41Qm6TXEfw+6+62XOOBqi+jxIlkS92NokT2X+4LWbecILEa5A53IMZX1gceTuDYpY0
GCjF8SqDlTfvUmxLPvuFEPuxdpZPgMnxpamG5a5PSZWKxmR6Gsq+HbamlG52nInKhNLRYAewCuMp
LK79GS0ObuoDYKNXG5d5sDRf8GSyo7VRDFXNmDswCyQc4XQ98YZ/t8ZWXg2CbGo8y0FDcwkBRkQp
vAtGOM4h5XC7KFxMnlC/CnShyRiMd4k9Tngrnv3I8aUl+nHunRXsde+SKGuOUcfEbnrdipF5CDak
Q4ylXWNfAauDO6uotcJtWAYuB6I1fW9sf4h3kcHEBG6ae3Dd1t6egUU5BNm9rKz2ywBX5CEslbsd
obOtl3yGHBT4LoN5FDqrecmDDYG05FMgTkrf8BLgPdSbZATExpjB6eFW3Y4LfUrNVJ6BO/Z2NzY6
Zviyk4GlXg+jNwMJ3YWG0wUrTGu8XSsDXIAbO4vkxcDafSd0af4qQqd/nTxsgScfu+6dKfwBi/LS
gr6bM6bsVnGIxIhcnZYBeIrxwj7oxTsM8eRW5sy7iPCV/dGZZgLZmqZuGYgyq8Wrr+sw4KyJXC6R
sNqmH8PPTbTx7qLmGfODhpGzNxBkcSoGE8GpG4yPKdJaHACYJd4gYQmY+Im6vKmjsuxXtT0beBw5
PLUfqbnVjwzdOT0n6p7r9f/BQv+AheLwRmPy30Oh/6dEKg8W+MPl6/D2v//Xj3/jLxjUsqP/Qj0Q
+ozisZsBNPqXJRd5h/9Fo2hB6PfsSEcZ/j8UlPweyP789QCDHgxqdDv3Fwrq8UceIGKIKgsMBlnC
fyLZ0P5eP8MS/BxkjBBOwbO4TqYFv7aqZNpB/R9M93tqMid9x5srdszNNNlG22/6PrfVA64vxGtK
5cAdlMgCvNc5LkV9aTUe7MadMFxG5QXuzk2xqqPYZOIFVzKdv3QmwXbwT11mUP4qg6k+GlBSxpYR
qFMOanE2CE6lfWNRqrOtEux2J9jwWkZdokTFJ8elobHJxB6AiS4cxsqtt4JV7EXdumQ6H8a7esyl
QJMuSe/5E0L0EbShMcXCn+EO/8HQjwHPr3enkb6Fsmzxvgs5jUjHqiRImW92ruMUV1HiRXzlbGV1
9Q5dMVOf3QDMu1vb6dBxPbU1JX9Sg9gfcCQ/YhpmMdHxQg84I/oIeAY0LVUju+TNgvgJBZLXfnFc
4OZz9KVkekz48sEFsbSxgAgHTFLw/w8gaoimeGlmyBOETQy8tI+lOUoz3S5xsuiUiJlHse3pbJeH
tCMDY976+Ar418tSgJVvK1IWcIU1E87s6A/jvg9wH7CFXoPoj00cWhkLfID74rSgAKBO+m5OGGd8
8urMaO6rMm6W25925u0PbOFnDP5XKQ8KJzaNh9ud72nLq78FF6iyaqOFQvLN4WlbzlagfXYJ1jTZ
4bMT5O7NJMkdSVfK90qjXwtSecf7IvPq/P33v+QDHqV/CYbR2i4I2AbM5gP4aBH9Z0Zz7r+NMuz8
a0+ovCetAlFC4ByRry+e/5/eZAAY4C9YxxZUQO8jfEuEiBHw9nJey6HtGrVplcB7fzWGS6ymP3yX
3hf/Rnb0febgIhvCYcETFhB8eKA2LscFgTT222wlpFl+t3GpTNNDDPklPya0qtziUvkDHp+/v61/
W0kaLcaMCb0UVmY0/r9uWMwiZIdUVb7OZjSESKaDMhzvY9sgHPgP12j9/RFitcggygc65vD+iF7m
TWMV02hXb5JgF3zXMzCKL6Xdc0aRUprEibiZoyU2q8smw/nX3Hoj4riHXAZCOBDtORDRAOdxFd3l
uc8kbJ2O2vO6gPEYqv0wuW71J8T1bw/GCy2PaFxGF+Q7/G3qZUVFCFhh1q/4TXX8CuwJi/x9tJSB
mU5T+Y2ziasR8e6fbtbfHwz9PhgfUxobVPTjsRXDVZpF5xnfSEKz6KSjwMuoqoJQpJ25thzCoMo9
26QIXrBGwxxk03ZdFxF6hZvX+DmrlokYcqTVS/+NEIc8Ionbh0vmoYH/c5pK+PHZ8gMDaGdskygk
IePjs/WSSXQViS3fyDllGLTK0Ykst9Kf4YitFgWwM15EEtDp2kANxm6SsFJ5GdS+UhyWEYGT6pUF
WOXvvkROol9/eDRMRHq5Tf7+4wAmhpPTxZuHxH+USUS3vB6roGCljjTdPJ26631ew/DcRp4IXhr6
iDZkmvKFtprL8C5ORT8/LUqXEKsWTjH3woYXziGPnsxv853tth77u02nDDQJiVT13Z8wurVWTh/L
5ZbtH3mPNfr85QFqUc5v1IlAOPBbmKo/MhoReb1FtlYuD0vvBOPnsWv98R4GesnfxWibE2SV4o7A
M7NT3DzJrHB0D7jOHWGw0eOQz8C7l6S2NNnhseXX3oowB1vrBHHc5a9kfiArH+PxOe3v+imoeJmp
ds45gmVHSqkiPjTiq41sivjrizPpb8PBVvjXDvru9qkNM2/cx8Bx2VXpYhlwMVlyrk9pa6jhOMxk
mZGWFcb65INta6lTOMqUl6UZ9/qd2YaAKd1ehG1PuF6DQqwoCJI/X4CX9ymXSuRm5Ocb04wNbqhn
1iw/OSf6ECurwDSqbQtQxv+gwoa5s5aiAG/86zNa0QIeQ5nysnTNkmumeeWki8c9GJxM8dWzAFM+
KqfhmpIfd5XsBoBgvBnEwF+Ypj4tjnXZDbASITzqb3SMgKoNtgkRYiuhAnrqDQe9Xi4NofX5u1M0
NYuG2Iu8uoel2ATBLne0c+hKkH/AnhrrCPyD4BG8gBRYrskHgqRZcbDrk56x9dFw5wyz+2oeuYfN
DE5ZQmhmJBl/CkvmwvmGuBF8iiB81yNie1Ksde2WW7PDnymfapGLyCOsxa5aJx7rZNsYnX7ugT1y
Cmy7BT1LhRYm1uu3w3uJf0pCurXxGMnR5VMa1bhshSGHO5rz5HtsQbBZa3p+kuLq+T+nIde/xYXG
7vprPwjYgoq5GivFWXzf3Y9+6PDzcuADXbfFo0m0nWTq6z0SUME/rCMHhVlKCCTJuuW6HSvu4EB8
PLdzCbGVwq6ZEtDd5/1MP79LTF8vUV1aj59FWPPfdL4lGzjIe84GSkfME7bulLHPVacWfXiguihe
cuIN9ZZ2I/2hZFxjvI8LDHUjeJWwnPFzkOGyVG3pCYVU+3E2aS2vRhBgPrDtJDOQ9UItple1k2Vd
vxFFtFjefg5LLWTLzc9RirJq3FiMjvTJlJa4vO/AKHaYEyTC2fXk37nmhrUN4J2MplhuPaVmln8o
Q+Td26iagB8pFJh2X/ueNxbdKjV1OjlphrmT3TQWRjNQabXQkdMKkbJp7Wz2MjbTmWQqDoDatX0j
13MppTGdEBsH/EbGnjyb1oVs7JETZzGsWtdxrpLmE/On2K2vG9lExKr4ZuZO5ZaDmONmSwufK2wj
BFo8rVf1Q1h92K/1KTzifPASDDEKjln/dZnAoVN92CqumZiaYiGZoEvnNE0uiyYdrAB/7UjqxZPl
+kgJYEG2YleoWK9Lc5glayh2srZITo12Lxa71h6HDqNFz+GolC0ecbAMtEq2Xs0mJL32GhjZ5sjN
63bgKdUQrHkXoK2e+KyoNfUpCGgasXLNTMT9uDN7MfE3aWFa/qzvYn0uFeZYzXeYw+iKMAWI5XiC
eexz//rU4HRAyxywFyy7lyyokcRT3Ld4+q3yTiHeTe4+LOXCDyc6ZuCrXQuwU+w4LnkdwcIMeMtX
MW4bchu6pX7J9v3QshxnALsGh5ywU5wPKkwN92Y2VYexCEeU5+5Fi4FrusVZEW9Gchl1iWUaBHS+
VmFLN/JXH8Kpr2/OhBa8iS6KjlMVJ9A0nxzjMJCu2DFoR2GyQTpRx1vXHOL2U4xYHO5uw8tfnR2T
+cVBPhncJVLLAzZ2jnyZxRNmSM/Qb/xY1lU26T/DA89h4S4Z0jccnhudM76WRshLyyJjg3vsBF3U
TZg+lvCQVwHphuxcFyg/gI+Z4ph3beOdnIMQFoxwmKFZyn/Ga6zsPpnVXH6OkIOSP9R1DIiOfi1g
A6MbGsQrhu2tgflRZbhXMb+ULPBaZO1zxpm77Iqgbso3Ny+XjkAcQttfpsUqp5slMkgRIfORyaBw
vEkQyAnDFA/BFlEeZibT5IXjdddiZ9+scBCprEusukBw47AfrXXLM+o45OewXYjkq8fOnaGRo4qm
pF+6SaGjA922oxVUCtU/RbY1uJ/8EuPCZI0mvJgR7pa2ihvEoFx/zDpFXnroU95k5TpYymlZNlFW
Lma3i23IuaeZzTGs/L64wqPRErsxChJn41GgLZ+T3E4bXnx+HxylIkto5bi9ba2VxQmnkGH0Mtow
DgzytRkEdrdOvDLZB7bTb9rGnJZTTNa1eWFNVmrvYoGqol/1TLcyLBwdz7gVRVO5XwbZEr9+YWLb
L9pt1Jjz/HnuZ6e/MpgDGfck8MjloccmBrJ85/vdFwQ6Sd2syt4POnERzh7OgitzxGZug2l+WVzE
WY/vzdK4YQUAWzSOjZKzW2QbfrOqPKzfUuIIxnlT+L1qv0c4Sw3DeiBbMmAUIb3evEAe0nr/l70z
W44bydL0u8w90rA6gLaZvoidwV3cRN7AgpSIfYdje/r5nFR2i6E00qquy6ysMpWihAgA7n7Of/6F
PA7I/ZnYBvhuiwscGLU03fYCxWcW/Yy8gsmmgYID14ByZTiEFQomyZ1FvFBj8mWSq1/Vtz5lyKa+
YYVWMjsYiEjmWEKunVfO3TA5VWWvqgBrACz2dGz7093Uuw7VWKAPLJhmnFStiYtLQgUFwbpXx4rP
RsLirj1VPjYc4CyHyBZqh8sdXVWY2D4HhNUkSGhC0oAsVLfe6VyHGiUpaWc9R4+DaoVThukjQuYt
w1X+TkZApar+8JlRnYObwJwBiiFnIfO3ss5j8d0pWmiEW6N6y+6E1QnWUMnaYZt0WoRJt16K1625
RYtCFYyAQlXR/jRU7GWJF6tDg0y4YOAMz7GwWZO3KmZr59soWZsdml+LPSWXOa4IapCJ797ScRDo
sSHmmckZPWCrQWmC1W7HDaoKV52cDGBHPimUZpdrS6J0SvyxYJPzeyXGvfxlelIGrKXWKRs+f4ti
gx0ltYnvZBqSGMRQroqgao3m4De+qlf9oGe3MTvZiGeGLEWJ/VSCiicsk55jsasg6Vv7onJVyRL5
nbpHmP2LznjFGR/D5NWQGb2EtsE4WDcglwVI2Ra+jlVZfs4ePqkS6Q3uEW2uTqlfJxgMM+5jihqd
HU34g/r0hhVo3EjQ9sQvsT/IaToyqXFj2WYS9Qlkq0W8Pn/fiblmCS1kZaGIXeA/zt9Y5p3I7VVq
FJOHGEvL1KsYQyyiZ8nHwPmOjzLY0/tj5MA0jHvaP9ndenUw8o0txic8I8lgy2guCsInhuhqhi0X
+I99ygw53UWVCPPhBMak6G/JsFBVrDFXCnyCodzH0UmlF6qo0DsM0AZMzSbVyHui5mXJweuMEQsN
Jq8dUj6TKoXwIVXN9wTsNs5Or8K2967mjvTQ+EyAnvN5ptlW68Cy0J5g45tSZN5mBPKxROq8VoAX
nkr8APY1qlAzMlrjuDbUC2YFMq7NbW26zOFW4fvpGvV9yKEp8fRgQVkW+hhMTxpVb3ZEKU/LIEsS
KmudO5C8ImYu+AX/Xf00VUkzXw2Z53JcGhGfy1xGkatKw1RINKUrw6rUp31fHmnn8FwyOSCe3kLu
sbr8DLV1Hz713hBi3QX7iaHJMkc9x2saT9QEycZubPXuZgV+BucIR0LCf8IMhaHEXwR2OEUt0gue
rUT1zbWKueEr6FUfK7CC/MZk5ePw2X9jVBE3h76B2JIvoOhUHZvLNNjWmT0goC+IZDR5z3C7Uk0g
U0k6Nqao6oG0NlLDKxpPnnM3oZ87tTCUnU5hCE0jsyk8HdJDHxkjNyV4r3zaUO+pNVqiy/m2MUHZ
FAa/OmKPrHgKgzEM8cdYF2GN58oGQxWAY1x9tfHF6tHnXOEIpOtLLGkj2pE+asKW6DVRWfIW2aUl
taU2GNx/jUhnVbMLT1VhzWioJt/FEob/GDJD7W8DJDQ8tS4H0GWgSWgtfIemdwpqFN8p53vuutpx
Z6OmZTypmaQNreofeJ2Ew+WB9oJZbZUVe7LYVa4zdtG6cEde/R00nohWJfWoo96XXtFnqrTKtBzf
Mfx04Z3Wq67vW/VioGjgYzJkn9QridJ3KC51eyQChxsyq47b8fHxEMvBcNUSp1sOq3MB6U+5hA9J
uA2iYpTXuMTN7QmTciPbea1JT8HBptnUB8zYe7ZOuBYlf41vdw17VVIXqhJF28MuDjPkrWvE5pEh
+0kNy4JNioJfimULcmVma8xdVBf43lhkwaw+dDmPwxQuWWUT3KPOm+l47d5LeNFpknTe/iEqCh5p
bEj10SVO9mG+JpAmIAAbpb2NY2QFOMIPzhNvFLwttWF1PEaNCEdU+XFBqFvczkwGIqtID1Y5qg59
et85/LFVhW6OKwzf5XPs8R8wI3INIFsz0EG2cgywkvQI4crPhucx6FSf2cMBipyVRtBh5i9a2fB9
v7jkMaoGTIWtl4PzPMwfj8LpI9yJyUrh6Z3onh1BavNr9v5qZARtcnR9/u3+vBTBUdS4SpABeH6s
Hzdx/Zh70IlnJtlqfyqFbeFaPbJZs3d9fq03NPB3/NgAOnZJZoBlbMFtPp67tLqB+XWWWs+jleNg
fiqj3ORNdMj9YxlGsPU5C2cCtNODRATWAqL0We1lS5gi9N2gEGqyQei4Qnja95351+yjaELVIhSu
03Im4GM18KvPP/4ft0qZrFHYGoSIGAYObh+fytgE5AEMrnPoYmPkc3BAqbaQw5UW6vNL/fHOIeUn
jBdvax9c1TvGuymjYrOggDr4Eekl0y6YcIC/N2ZYJCZNekjg2xdf7niEghzLIDsYrj/TBPMPAnFT
t5YXgt8fyMNSe1SHDfV8JWN29m+hiQXvtAp86n2KiYlf/8zwbmsu2e1y5wsu8/FtZmrqENSipqos
N9y8Pt7moejGfvBD6wlMgtYRM0lQKo8gW3bAf+0umwhF+LYW2gaXCdIxeJ1SGHqWkRhPkiSw9Lyr
MtWaxwmd2q6PFM/0CzrvURSNa6IjA3ZmyIsbHEXT0RuET8XMZjI1T03BnChaN6Siss2xKU4816Cp
M1xdoxgDTX/ppk7Eyfj5N36TbPy+Aim1ILLqcBZdxDuOZX68uXSJUWZUCB0JNZjCYs0sa8YwpkZ1
n2zfy5a+iVRpjA+g2r9/geIawg/ai1x0BefC8H5z8gSuCniVo02sYtzWLLqFGUkpR0JLVL3Xrjyr
07xhERtpx27tDo46LHsyLfpyhfWbCvy02J2oRTpXAh4ZQzMOpEemQHRrZKux2Z3EjJa9eVWmmqqt
2h6W1oQrMn7xwMjQOnlmooqpbdzWUkd8RSQIH8t9B+hbSnt2TcjvqmhK0Pur49U0VLEcJMTKgtpA
XuL+e2GCdQv5BCO0p9OoSIFlP7/9x8uafc8kKotAPh/63R+vtqSziDRcoh/LqLaoWcOqUy2QP3eq
AvgFWX9+SbVaPjxwtlr/bUaDNomAmqNRN4Oyqatbb3j0Q6EwRhljonSOsstMtQu91fkEihkoaaJG
iEM8CFjY6tN8/jGOvzlEcLjzWJgivmXNvY2/f9PzYMhUDDzL6DEtgT/3cd50+Z2ZDmZzZrbdFxKp
4x3EojjD/dKzBWIz1CZHL7kg3S6OqrZ96mtMh+8J+VSvBXxfVVl9/r3MoyXN3+5BV0Im5TJ5s/Ac
+7igwmHUswzHvbsCC2JvFQBfduEGUU1MpxsnA6fDgoF3zj9cABvey9HB15lmzcEQuwLWBYKh5VHz
+2ogaRkcYbZVoR4jNv9OwDarAjJ5pGCtUVMwgNdh0B2d9J5QMHGaMx257ZGg8OW01OEsQmWpJkVG
T+AKXZVB2FV9omnso9kGlmpon39+E47uN/cAW1BLZ53aLlnyx/fAgabv5wLPXJkn6mQOSkYV6YL8
Ujrnzy9lHb3P6pmyeSEjJXgOXP/4fUYVDaZq2MGtZ5dv15IO0GlKjKE6mtjq2YLeZ+8ZJB3uQjEW
CiX99aumlwoh0Aadm+vYrsIz6QUrdjozJw1lONHSRGrzWctSxc0irvJ02JInQcO0TouA9jjG65+2
5Nfgj2mRGiJpZEKwdmZPn/m9vszVA5+dhKtob9Nx9x2agDenMF5sBNSTTAyqlmHhQjbnuXdNrIDl
XyM0ViTvbsLMg3MvCEA54MEb+QAE8vkt9T4+Ptd1ydnBjgzCksNZ6Bw/vppv0Hu4Rb1kveV+TxqI
6BuT8ehOpB7mYiMShQ3ce/8Uv9IsWFU2ofMY3mX3PYkiRFd7smBoGloLX5tU4HnU1XcB/WsLGRfd
/zLyenMX+8l1zqjtRTFr0Sc0mOsvmeWIS5Tt5Wmkx+05J1I0q/iMPl1pbWI9zMyR+33QDIlDOIGv
28TWOOm9NmsdzQGp5MOy9Zsrm1OJkBTM/M/dqelXXTXVa2bi2T3uVDYW2iZTgqTCoIZDZGCE1xnZ
E6wJ5xQlCjR8Ode6AQ2xcW9NzudDFZWGswgaEQFhhG27NZOiuCW7BVMqCz837NI0u1hp4HaPqURz
kWlVcyPstqUsCuQuwTVzw5hgqnAkYLiM/aQPE1baeb+HT7nuBh9WthclyYNEBAhqHhAV3g1NeTsn
EkjMNjTYwJpmL4mEvba7SX82p659gnJNEKp05DIaRX6aum2MNcMUfyXh+XBm8EIwVmYzU6bCSqt7
HAdWAv+4tRMWP3hexC+YaDTWIis7glcbXdx98fr9w8VciHLqmKeGO65IArw36Mn94gcS1ByO0Kjf
GgX46iLP0/PetiT9H0YA14wI3fSLeuyPN//ta8LVYWTDJn7cj0in9cvUbvIfdVHQuCLlQo6RW/iZ
fXFMvP1N/3sMv91SVHkQD3y8PlDGHR0To5mnZg9X5ocxKDMry+S4WJQ0PPGKBCL3W2HmgZJzaeTJ
Z45fISREmL8l+FUgMu2gfUHWE5eNaPx9odXuHectugFwxY4EXooXE29csjY6w75GAVm85pIYsQJ4
9ro3J/PBT+hTF0Zp6Bi2pOGlhaQpWmhuLkBvUmZxBjqgnd7404+kDPHHrWWzwRdPP+DMhGs8z++L
WuiIhMctUWUAZRD3BemkeVwSGJrbjrY3zT8wz+LmRxjSba0yybA5HA+F4WePluaPK2mGDD1whxE7
u5icYvX56+d8JN7xMVxF1lR8EFQRHONHBZKRBjnjg8j9EUoGB8BpTYrXGLmMK4K6Z7yH7XzcYUI8
Suxaq5xpT5nvSnCrczK1+g7DoVC7nI3Q3lnzBHDWBP5THoOnL5tUO48x2MRxCasnK7duwUCzy1Lj
oS0Eg7FpOXcjY5ekbIOlW/nuN8rGvtwMdvw6iSS+sFwc5VCgOLs4LKvLHJstFfDdyucpi+QdAtv0
Wis8DggxGsPGMrtBLiz47rcDHtoo2WoCc/poNPwFFjGMANykThiEcCbe2I7mnWEuZT8YoNr4b6ap
M37x2n+kJb3fW8ytKXsF3Sy2FR+LIwkkzHN3gx91bDsXWKYm91VsTdjW14V+YQz0El9c0fhIfH27
JLUBLY5hWlDwjgNpiT7Jmpyj8ycaHnsPbIZBciAn7RSgMtkwiOjY6Qlw+1Ehe76Pw7E7i2Nfv8Zr
ydp8/mq9CR0/LHqXUpPt0ySNXXlfHH19XDed1guL4mc4MmCgby+Dp7KZo35V5xP2M7qJJajMS2Ig
yHeIJnwShbOLoMOuwEl8H0MhDVPGphTu97jLegX9AqEXWhudpyJud7VljRe43KJBISDaXiC8MYdF
i87rLbo6l4vG8MolPmBOtdW4LZsk7bRzXxg9PzC42tmbenFCDlWsEiI6NuHA6b0s8eU9yxnzUlFa
KO4XWOsVUEqGhBkuQ897p6c1pRZpbzpzLE6iPLOaReNCl+FNZFy0FKB+V5YfF4xcYdSNynA32HQi
y8IlUQrV+VD5LVqFGB/UJfevNE6UzKvZ6uQyPHRNGX+XmP++2jGyajQ0SfAV8PXn/oM1vg9pDuoa
tuV/4HqWySQ0HYf0J4m/OmKZwU+eYXlMTA15ZPRU7o+5lcGJKLTnqU8GYlxEX+X/xguLRQRlswVz
lTjmI7gDplSbtyj+fgZYT8rV2wPBFyfKzuJMdMhne/+2bgq5Qd0WrLG2HB8j/FQr3hN0Sp+/sUcA
3dvq8WyFLbN1KG968+OCnXM59CXROz9DVxc3tTDab+QsaisXYPeUc1FeyKzu9hWmBCfZaBnnXeFy
kLlZN15hrOdBSC6G/izWpPUKc752Fh7xRzdffMqPPYD6lAK+q8MShzNNU3l0y8iinHK/tuVPUO86
vKOycNolSOK0kHj6X5iiT5kptbPwVl7jlK8R0SJI1QKzGraWW7b3jp+FZ7o7pHdmY0smJJwCmyZp
Mm53mOAkVzPufX/Q/9FZ3E7Vz//3fw4/ciwAEcA08Uv3u2oCSwLb+u0Brw7d4Zeo4uKQ8yfPD217
eEHa9LPr2n/4k78EFwK9Bcxf5VTxxnX22U1/ZaC71l/Ms8lFhxz8d9r5374zypIGji0+Go4Onq6M
Ef72nTH+4ohQ65jCj6qM0I3//r8v43+FP8tflPP26Ne/U9A/AhwKqjfgCVLgGfy70n58XDkwzARG
3FoFjyV7jbA53WpeiT7M078iYf/TlUxduT0QRG5CVf54paywC1tZdSIBpHfM9eqpKthghyCSX5TH
/3QlrsHkA743ubvq938DbcIO0XpTpdWuG1K5DKR+2fY5TUD9VVf/DxeCtw80RmfP1zquE3o3w7a1
mavdhJdZmqWvgRa/Jvzzt/fqH2QC/3wZh6HKG0xx/Iw64h7ayBkriGoqfNEDHWhx0lsiU/g3bh3v
KoeLgqI85jlHt67Sc/AJvlEf5M3ZqEuFipj4X36pOPhYY729eB64PZUhwfA0MUdFhtsTXNr5A+fB
APQi5PRtCkfFjrqverKrPr+DH3feXxfDjAI1sYkj2jH6ohlOyRyhrHbYW2MsjSRyl0ALWJRafNA9
HJJju7EWBlLff/1V9Jg8AY1RrwtsNj/eT9GUOAFHRQVVLS5vZFPDPPU1oAAYl+8b9YeV/ftKVjfs
f6u2X98RjzV2BaxLWNUfLzXLRE4xNnU7TWImkcsKlrKpBzef38l/ehcBgv/nKqqO/W1tqVSfnkaA
q5AnfWo2432fD8W+aP69W/fblY5u3ZDmUUkICy8I2qwV5dlhLoEhv15eRxUVd46qm7oBWr0QDt5R
R+dyKEnZsDGc3HUqDMzRiInrxiRcDpb9vY5dbYdXNYb7uIFvnIZUjrDpvmgqHf3P+4qBmIcsDzBB
ddxHC68McgfKV5Xvqh5KVqX3HOQTZPqr2c6nNTI28FUfZX0NGEa/C+z2lp0MN7nY97UjGK9j/8ro
IZRIkYvh5c093U3Q1PoujBXppq8TNdRJOBv9eeW2ZNBVM3Y/po9vXlnxI1MU5Gtcls2l5NDauWOd
X0+Nbz6krokhQpAET32OP+RA47kLlIq+nAp/OyQsqdQdBRXyJGlbMBKE3lCjrO26CK4+Sqp1h0nl
TafR2uj+PLzUAQeN0Qk+uzC4SoLMffAol5eR68HcI4FVf07SSFvGLZ/nLXkth3m4Sski3JTwhS+h
fQE9OoQkoeEj/51pVOaPC6gX/lYEGJPWOiEQ4AHeCr8bbZnrfLsZRg2uHW63JJOHyZXL/kY4eLEW
eFUs4T9AjIqqEuEDWps9uBc+Q6gQTg29K1eecrPyfIyf3Ew3H8Kod07H0EieQq/M7oEj4i3TyOqx
Frn5AEEAPw13wEilym0585l6+iUIXgiVLbgSFvRWGxBPw0r3vh08uLJam1+TDtw9Bdya0yipq0sh
k1fd4JlCJjcfci9+HdshuOkEFhWD2p2jFrsgiJXYVTe4ffL6+n4WXSUxudmIllE3G3xbEpGIxgyx
JKESoXklCK7YxyGd6AJCb3wRWpV/mYiweBUauXxGmXATCfQsVqY2YFL/tvKyNqQz1UmujchPxM2A
mxBI2vXZBhOlSwvx8kDatAghiz/5cCsQuTMmCpxIxep2fTljj9CIbBtDlKvODdlX/oruAFUx0nd/
bRog4MuiVDYnAsPmM62M5wcSdp1bQg3yV5P4wD3fEd4NYSMLnMhwOYD7do+i27i1ipL3x8EgFSad
DTsce4sIVEKOeLo3IzA0KWGqZQ3GFNWmWYXlQgvxiyEwx4dA3bDsbH1GEmpzys6T72E2W/Vy4RB8
HUHj1MJ+K70iOfjIUTd+wToSLqAjNhN9tn3zjBrIp/s+N3O6hc7cZZuBcV+8SZi0z+uZzKp60TCz
g7U6psbz7Fcq+JC1ZeNFQAz84LR3vdtVj2FiO4SlYwaR40OOSwZu+Xt8luI3XgqOYClPgjFr+lSH
ZrEfAyaiRDaYy7RJXvF/9c8CxFZ7PogBGJZPQL4tHi8RqT0XYeqTjRIqBo3GE5IWp6+02FjpzrwV
obrBTQKnKl1F1Rj9LCrgNVLSsTPHpGQ+sw35HQFAv7XyMm9wN+FFmAev2CvspyV9a1FrHdEbRrb1
m/An7EN3FbXjDUHgu67sn5kYx/scqdRaBpU45TR2ryPJoiRjZVzj4Nyf9x1uW2HKOrc95nlm5aYP
nlHNpwgUNzkdJ4KOEQucfEhb5qNxEiMdynip2RVJuc3IUiKf1L+0qGtJp2DVp5LEwZ7M5YXVggTM
DbtbPnT91lBHf2Xzvc08OcDu9C49MPsD+L93bfUk0JbhgJmzHVj7UappLBvqk1QplDrx66sendLa
aRmsLCCc+5ddIYeXVmsyxMMte05kp961IZoa24Ds4ICqvNmwLAV5h9eQw6EvNQ0EBVcBWVB5EVCV
aYP5umQneyv2pN/UW+yo5CqZEjYxE5hdMEsBXCmbXdx63RJ12/ASOcUJQvxiEfqtzhtMvlcTZ5dW
1ZWbaLA8HkJeXba1Ku3x+zhlmM7LhPGvjGEf2csUeieaMB/PKIHP9duuSzbbI4IbAxksu1Wv3hEH
Y5OLFIkSmbZjuOmniIzsgWIGU7HOuUhCZ9Ni4Y09UWMuHWtmR+zKcdnDjbkjRcu/nN2gWI06jggc
uMNS8oQTDIkJpQ05DW77KgxwQCuKfTDL/LqV7D1ayO4x+Cz6tM+5534p4XKi/Q2LHqgxMPVn35Dd
KU7XlMSlvPRStHut0PttQtzoNvdD7Zz279JiIP9dS5L2ckLXdR4k80OsW8ODl5K+5k2EB9tKsTLj
WYWbf51fVqiCrrL00a2bfAXM+1qiolzaXXzHer5vej3coZzS1lGY10vimqtLGz4ERktTqOwtnjWn
lAs45vYehQtu5nGU3dcFOy/yS1Jsc4+cLpjr5XLmkVbvmyzweLWZeQYb2r8B2uVI5JRn4/U0ZaNk
fuXYzRbWw8LECX9YwGNPAHiAp8pFQp9Z84okPr5YoZ6eFEOt+wuPDDlCmxvl3dXXc7NAHBPn5H/U
nY43yVDniyo379rczPcD4/09vl+g7aVHSo+VtXIliYc3M1zIx9IVp9OA4nvm8Mka9r/cHYJvNWEC
xPSmDHu3dtzn0X5AxNKPC4YDvQejTpaQMYVES7ykHWikWMx+4762E3YzCw/SxM/KIV/KiEP3ZPTc
ioy9yW8gxdZQrOsWiRf3wE0n4pybrrsqhEu0bGJLXxIkESbrDtWmjQuvZHTM3tM+IVpJCdIas5sh
sUZi9AyBzzf1PRk/sPV7ZGtJuoor/dn25K5KEnJzJlikgMsRiiHWFxtHf+0wCD1HUKMpmkc+clab
05Z1akIdTAhJkZnX7cxadkQSBIc0clKoImaKlwZhHqVbG99zcMYLyRmNZ0jY6KuCwGkI5Zk1X7Bc
w5cwcw1E8UarAciPPtWthlZpxLF144Y5+5st2L5hv8glDZsNPGT7mbOq+MK7lEAKojImp//CP9X6
oxhVBTFAtIMqTQe6OCpGqxHZjWdLCNF5bu9l3+avpVVzBwci6/V8EdqUVhlWeEg9EqO7IMOb7gmB
/2VlUFbFTX7g4Cr2nokv8mTS6rRxhTlSNknnFE82EstBrbDPx/avQyIJ9xJP510YsAatkU5pbbt5
cGPZun1gYEQ2kM//bT3NcK9RBrDdBshN7/U4Tp7e9sCi0H0PDmYKgPx5v/Nm7/yhrYIXABSjM2UG
7jTso4YHyVxoA89lO0zS2XvNoT/vQgnw6jXUTB1l9sVkaQylzJkaK/UbZdhkOqedlRNQZfhfKfU/
EjfemhXMhqGJ4LmgsIfjvjlkruRxnOwYwt1LHTv7lPMFJ5pDkclvwcSR//kd+KNR52XAOJkrYWgL
7HTUHWEp5+TojzPM+ChIi0AGHNaUJkUREVZufznXPxKyv7djRGwoC13AZet4jFs0FHu2SDM21xqz
Q3bMEgCv6KtVwovVaaW/TlveNWx4B9wrOYKHcjbENjIHY0Pkn7YM0sw5IJKDyd1S43x+P/7os30L
DgeUODWq4b4c3Y9uEgO0LWI9fPrtraOFKKbs4as1+AdiwVUAKuCnwL1y/zAShsDYI18t452wqVxF
yK5RVAKPI+zIw4VAGYQTIJU76R/998+/oPlxtKgegDJyUfgPrCc8E46W/2Skdt9kQ7Sz2yEMiC8h
l0sL1HxQUpfCX3WmS18juruwp/vUn+pXrXKGdTf1TrhEQxLFarNjbltDGyezHa3JxrbTZkfxSxAO
Rt4/avQ93YkWtHSNb5/+P3j1F3i14TtsTZ/4AjUp2tVD+ztS/f5n/jZI9/8SdMtQ3XwbtucHg3T7
L8aAvhAm1FacXhSG/QuotoTCsJVxt6/Mf/BP/R+g2rL+0g2Dnybhy2U1s1KOgOlPgWpPAT6/7cQQ
8PgfRB/XwFeVT3q08yF0NO3KlPaJk3neEs8Y9IgFVfwcROM+C2tKN42An2U5DNMPp2zdMye1a0S4
FMjfylLqjFkq7YB/nH6e4rSAsiawbkWSEJUlKlGswtZ2L6Ksb79NSR/fIvDKtimyn5McDuJTWQUe
PkBuwrEmeNnb+hlKZ7LD9gc3SChzI0E5RLi86BVNZUzICQDDmJo3sFLTvU9xfhq4VraVVrtA0VCc
l46JxDsL8pWWUDPR/A4nRUwkICYTwqLzDt19XsuKiPhsvCwrL9tWmeefTeTCUXaL0bxG8uNf0G0T
CjjF+jkDe7xXe87qDZPDbIsSK/xu+LF/YRASaoxCnuO4fDvrFDiGQD1Z1LavLXQ4Wq+Mt7Gmyyex
9Ax8P5bUi92Vj2ByYSSutYYKMZLinMVy62R69WMYuIjVWFgVxE22ZY9O74j2FfVizOyEeNwx2flt
160Ge8hJHJ0M2EumfCgJA7zsZDRcdzT3LyjApu9FI61rQhGnnTUlzYWwkvEa8454CXUv3tQBZnb6
KOrn3JIjPVfobqo+67eukfI1QqzK7LTgeCoGk1BLW/7QfGsRNw7uAX51ahbhia0UXDJG4ZoSkrhq
neAcn2fiTT3tJEvddBXW5fzApldv67p3XkM/Kck07OLTTtjDVuh+cIK3ZX4Fk302sY5L0j3U50Bb
WxCf2P6n5D6cYp9OQRD9EYtqT3c73FT9UN/6FJ3nM4Soc2onFOKysWLgIbsl0E3PbuzSrrY5bAR/
MaA93Tlj5mKWlFnW9Uws3nkY2pgjum6WLbTKg3GDTS/ktY7KKm6t/kwgVLmi13b38F9EsExmO3uR
40gmsRDZbhqldSqgiG/zSsSP0nPj73UVGQjgKuc6R5G8G6NpvECbZJ2ag1PuGlmGl51dtrfJbPnL
MSccKNck7WVA3KlfON6FWVfmYwFV/ByULz2JISLukiSzc6xXW1APO3Ius2o4NaPB5nUEjtb0bs28
vztA0sdKbgL/WJP74x5qa/jp1GN+EuI6uciRdZ+USO7pfoh8I3XMvLfs9GUarCpcaqFtPrpecVuS
p3vftoT4zXqhXxMoQJ7UGAXaHvBWJ+mIouIi6qlxl4Mm6kMbNAmxLGmNCtmy/Jc48KJt0fOHwjnO
7rxYV9l0GGLo9CKnpNLhCErO0AkQmFih3s1vXKvtnpnK9Q0eucYth9xJaA5iXw71FtEL0jnhYncY
01Zcw6DOvjlBthPT0O1FMBcndkrn2lbgdZLN8rEr/fjEdfJgM+EByDyio90vxuRb1WJ9NhN7s7To
ppZzNGG0Wjnpd1TQ450LL+q6wvZ0yQOFstBEqbli2F1dac24GTJRn9YN8qWl72+cLsm3QTvo50D2
2bbOrvsAoE1TvO1UWMZ1oofWrsArAkvVgelzoffNi9VNfBJcGAZ9dLelMYzrPjMkLa5red87F0+C
RUUgV0zBOZEXOU/h5Uz04VYjlzheTJPjLpt+FKQyw6JdhMG0lpjdtvS2EiDW9/s7zAVJAM9SuGJZ
E9Zsc/CVFn7V6KdhVWOGWwT62jC074mZwjQOw5m0x8x3gUsxevBpnZeZFj+k3qCfZBDB1xi51Asz
ScvnjEHZaVBG/rWTe+KkbR3y0WbkYddxpxH8TWYLErn2IBJ33CZYuF3prcix1cot/aLH13LpBSp6
zvQysUaI6N+DNegXwJvRQ+PZ8RnZaOCandhxIs7LKWn7CzBRPB5hmJy1iSiW3aT5Z5RJzVWXBPU5
eXT1vRbE2cVbchgWoeGGkWG4mk1y7BAKWQ8QO82dwDJ03QQeYM2YmD9nN5TnA3S6g23V6nCRs/0d
skp8h4idSFpB/DQYiB9uJf4dSOXDYUmieXRlGOBgg2+roKl6vNHpPBcFQWaraeoILhtN79SzfSeB
m0fYPA5jAy8ahsS+hqaEJwtOPRFJvS3isVMWDtVdJoNtbBDOidp+vkp7y14zn9OJziJlMEGjWdgk
Qo4bQVTThdGH5t6Hhvk0kOO+GvBfwvSC4zZmiZ+2EBl2roEwDXu+xicNUMSrvBj071nQBDt2Jiy5
OpOGUThXjLO0lwprr33VedoGm5P2Eme77MQBLN0IO2yviQ/17pAUBRtDr/WbqI+JROzdQFtOkyY2
FsLVi2aqn4t2nl70WbL9QyacMQgZbQAaazCADOglzVY7dYg0hBRXNKBUC7Sz2AgowyEddAyc+xoB
mvIATJLwVjoUIotE1hluw5bfXddhne1KkCaqXrBKCBttA+nGDbz61WcMfdJnkbmwx0E7i02M4r2C
EMS+YNrkyEeHYO4Fey2ZR54c5HPaiUcseQ56IF/xG3j0yvFbYcz5kjwyWLlWTZpk4U5rbB9uzTqs
9lXkusBmqXmfQvV5oXUZH9B2Pnp9ITRe9RhjrXRfIYvU5b6q27rvtpkYyRU/p9QqQqAYE6uAdYx3
jb1WBP2z0XTclRxG6V3VXT1hBiWCVxlPlrfLehDuR23ChWCj9QTGEXG6lRNVzzZnbnIeYytUPlZs
oNReyuxlDEhww9gl33uasrTHZmlFkZeeGuFU7GUTu4/O5NRPkO3C5CqAU3pKdrHR3MpojoJtNqfZ
XCyZeczYD4Sdk/zworHV7hw03c7aiPqATHQtTktErrG1KjR92qLPLTa9aB9aNxzQz4bZSp94koTN
PYyaOexEXAGq5R0G36RkbvzMpZzMon3c2Gc4lnshJiKls0ixK7/X3F7bUYvcFXOUrSMYWXtOEO0G
X+zwbIQAsMT+a7roo7AmZL1x9nMHKkdu7MGmM9o3vtBQG2tyaxTjtEBLSrmFC7okuNVqTuP4BAYP
al3w6TLoMErBdg3vShT+wtFxErKv8xk376TWyDK3McSQQRDsm9yM950engkjA4p2jeosCkS3mkK3
fpIW1ACsJaZtXPcMH4AI14QrBgoQLtdkXVew2iK8czr8ApbYfXk7qVcYuWcmNvt6oL/aEvObJQSK
GNdbH6nZD2zWhffQEjHqti/SdkkHuQtqWzFuETLFefbeY/+nifuiicNm5tMmbvUzOwyH5ufvTdz7
n/nVxLnOXzrxJehhbTAD983E9W+2kfMX2jlAkXfSkEmj9ncP5/8FaYBVjUEiCTeWwsB+kY0sD09Y
+i01GWfmb+rWv9LDIZv92MPRJBJVhMJJN7C7pMX8/+yd2XbbSLZtf+X8ADwQ6PGKhp0oUqQaS3rB
sCUbfRPoga+/k87MOj55mrr1Xi9ZNUamZJkiAzv2Wmuuv5kU8mxkYbi6crdYS/LaZ33VBCTgkcTm
lblmtluo941cHooal5BfJKOvqrYLjknFBDqmVQZtbRWvUTqURA1QpmhHVKcfc28pAZU5GY9w7iRF
zJaY2DHKWfFuKAg8OvUWG/q5O0Ixaoxa5lqLx4tI52tpmo9ZP1VHGtLXU5GZfIKdQaXDFoCacQvb
tQdL0KQ41BE7YLsAdZGwc+Osbe9mEDDwcHSm89nMthM/nIaV2Wr29ppGe8Bi/bVi+3/gFvie2VJ5
TYtSeYplZXmGnKstB04c0lKte43TNecV6Sko5+4yOvGnqdBRUEHxAc+uXVg+5xvXzROKG3TFy+Kq
38Jc+dlwoaAKwUWirojxhGZDxbUmEdDY9vfXZNQuFhw1L7X7e+DzQJ807ZIK5ykah3sB6cYDS/84
yVUcZ2LbzGYVJRvOdPsHsMilPBpO80qIGKCR6OcDx/k7CPj97ZHv3e4p+YIQad7upHX9CCVvfUPy
V4OGyElAFGfYsKYcfaLwPm/Bp1mPwsjOLC+PrNuPAHXP5Fu7cta3kE/Us54ryqYf8/ox7tzipV4G
40XMerXVcYP4Mo70DZHBmTsQaZpELX92a/OgsiaGt6ccevLt32oAZk8o7bRsphEkf7rGw8nRmgc0
1l3krKgOZi/PCxCGVzS6J6tL6209U1UjuoVjNcrtcMXEiV/IcsK2cJ6LtVGQ8fTpmeV3jDWA/QIY
bBR7zY2GD0XF6+rbUtUvvVbopzKVdB1MAAgdDlu5hpiAHnVFzCFxtzYJtFq/dkXvbjoHQYxwDpwJ
PjledqveTkh++kC3pLvFMMQEETdCEKRY0HiESd+yM1r1SRPzcEdkrgfO1CrmM+pAemeUlvpu8BcP
uqVP/TKl3ilAC6/rjXDaqGXzsKh3sMXMfl8zAntIHFQxI7GvypZOojr6ubj2dF9olDWgsBk5FQAp
JmmBAbopM/GHnejfB/0/Oeixj3D0/e/bur8cqf9R//wPuqaH8nv67fdD/4+v/+vQt75AhsaXTOJe
J6d9O9r/OvTtLzhP0QvIeP5pFv3Hqe98YdPn3rZz1H+x5WXN+5+n/m33DhzauXm9NP7Vv7C5+28S
CgoKJlYgjhqSBTnIvx36i6hyUgKzuoN96Jfxz4LkCU20+8z51ZW5K1P1QNEMLqfhVeScbHoX/Pbi
/Q8OSvfv6/Tbj4D/TzCbYa9yf/VV/WZbqzFINY5D+3zdLuopMl4Xtzl2Y07fNX3KGumlXg6B28QV
qeLovmnibIvfE2lBezNGDr4k4PId3+MPQUB3Nr0LBM8WJ5lY5JDN0eOKFCgjZRhq83Gr5YYc5w0V
UaX8PaOw+/Z/F4P6AKrJuxV+TEmbiBIuprsz6p7pP86to1Tp4qKapEc2VtpO19FUB3/RqxfaeL2W
98Ru5kZVUh1gaPodvjWbveN6MXqSiU5BHbBDtYCZQTvr9Y6y6iOD54WTZwjniq4ShduK5b4JXQm7
2P7GvVwJ+Uh7rqX7hmVj4XGh/ifU5BTBOJc+LpDrrERPmZxaJJcyxHyF+0FTt2kxPMSdfZeJ6vuK
O6nPcl9aU7EFZOOgEtJ3pFfVRzkb6jYHVust6vRRGXEQ011wrLrJRPRv/Mbq+MPoac/1c1ziuPu3
FFD1ab/8k8MFxscN0fC/ny7bH3Ub/9cD5c+v+UsLUL/cZjRy0eRr8ebe4sx/niiO+YV9J6hI0gw4
TX81B/41R/62+1epBcDxihsRNito8X/lAOHs+fvYeJtk+WaI0ZTYmRZ/0O+uU1erKyeqnWIH7ONt
ypMZ40NehxhhX8GNPLbc0Sp1kK9OKV6XCRlwoGAa38ChX2wnXBWp7XV22/uucNcbB9/cu9gSt5wF
TWArkr3N6LY/l2i0ghoHYgACQj0qcdG8M8+qV4Uo4pbw7hDocAj9xknTDUCzm4/KvjKVOg/TmjLq
9CX9zunEd4ObpkOdCjtFY6ExGe1B7dsbgemMQ4RQcG/0XlbM+7az14tJrRB2gcn2xTINT+jjuR8v
c7RPwAF4hiIu06qbW/rXvlpGmXraxCfNLovkvldTcZfp/EyqWqUPwura0GTj+UDEjIRt8ULjN+6u
mdowSUSrtMdv9UAoc9THKWi5CX5PGU7v8slYGWdX4IuFhHvM2jCE0mVvJ7oB/ckoUPt1/RM0ob4x
Bi0K0twyPNyT37RxYfXUj4fMzSmVSnGZZSuV72sPVRc5GZalXV1L2W36Xwkl5RzRlBcOipx3je5O
3mzX4uo2WvHaj2bzlSlyU7rThUGzvOZYdUkTOe3gZdg/cqz8xX3b6PEUas6o+pJ69NdhrdNLrifG
Xu9gDeg6jCavicf2UepK9EhxEJaDnL41TynNXzYjeQRTnZ7aupheCfp1n/jF3Ze5pH2SfpRhCqza
xuM4uiWZ9tzYS2weF/vmUq8KHfG10EZz1+vU2dtpBt4ss8fipcor886kpmdLko8+uIrsjgdaE19m
rDbt0Za07BIiFLx4rkaz0C/XW6c1uIG6m311rdXqIJWVeVhCjZHsknPUb1GX6YknAiZP7o4bbbKz
d1sbqYf75fpDQopeMq2oH+nYgkxV4jJHFqEdyprpxMOHc0Qgyd4buEjc5QUNepy2eARK3H8hnqX5
Af9Iehr6nEffQFw+7FIoKuuERV6n3BxyJRzdoJUOVYWqXrws6aJ+bwdb3yu6PmR+TLRmF7eACOgW
m+FGolSP84KFk2eyeBprE4Niz7e0NRZFAdi55UGju/DFHKIl35n4JjNKjeLlii7Hz1iC0bxCm6Nv
kKd27usLvwe0L74hl49EhtQZVuEyYouZ+7J5S/j8bVPoDmyI2WUEEQAgy7OTvnjBjII5QxrdZyqx
j4hBb34AI54fooFU6q+fLItoPN+MAMjBm2HLvsRUKdId12Ir1qPEuRi/agWVvqSLJDEOlVkNTx19
WH5tLZiu09tfHKsH6YXB7J/tueQ/LKJM25tU9N04MvUSqm6HF20ysvdf7zQumPxpa+ziLRULVpGU
nH3IXrY+ky7ESZLE2eCbqyxeDKymX6dKwRHTl4Z9YVto7OucdlIxs8hHYydBHQ8goBvavzb0ylcH
hc4UdtjRBDxiooPyl0WlUmvrTHPxcofyrl0jNXOuk4RalfCOZGXpmtG7q92MJGaJfF9FM99oxJzZ
2guMgiJOlMdfhorVyupHVp7utub6Ev76bZVTWT9C/8G82+VRBYG6Hx0qMvn0LrhYjkJ2RuRZDrf5
wIr59sONumZT8eGtK/9IHefNaY3F12Sd+l22nroqOY1sAQale8JJXnujWb9XKXIAYUPfde61fjir
U/yQAM0Gp5rsoIH+NCf3DpYPFl+FjYFmX+dO3+hjssUu/RK3HZWK6uwcLYtv2EQmI42CvXQhaKpV
9bXnOYZdT6/Z1aXCuhpN9txBWTpZI2d4jlc0sOxG94VdGX5aLiey1ME0g+iNqOer7OhB9Mp8FrOW
bZw6XnBLOVayteo88xCOjHBp8hKMJmrYOHKR7bEDJ3jTxWcVY5GU2g9ZQTCT1MjfZesNfKiVpEs1
86MV/a5yzAs8DByO46CfWf1Gb0qsvWJZ/YBKhMxRdeWGqG2PhlaNoVLqxHI7kuFYTLWRScsifqIb
Bhi4bP0sR9PX1oTYN9vFDTGDxyobmoNr51sdujzM0pVfcGqJzSzx+2TTkuPWEs/WolIz7cp9Pi/l
XoXCtKPrPg9UZ2iYMXNM2S5r5nhlPVzXb1IdDG8G3XJcctU+tLzxt9liqdxIozdV4Jok3OsNYkF9
bq5N6tg/Uo2VjIFx8d22FOTdPH/qRZd9Y6UPJTYbu1trluOziaRttXP7g4G+CjdzXTkP9LHYxaiW
Aka9avgEBLicP8qy+0wWyuxUOPynOWmnJtTjMe2hXGiIkQAmh3AdNYobhXUqOPMvvK0QA61IPBCO
N7gEQNryS9pCdnmVN4HRIbN3Qmt+dETZSRVo+6Wkbkhvmm8Dm6tAOvCFMzG+qmAWfbXmae9q0twq
1vBB79GbTPStusjomXzA4tHeQyUsRmxYVKZy3xosV5cKqjkfQzYCVfwKn7Pzq04PelKlx8kZ4pAh
wfnErjFebTMVzzlXemYIVnx+Z1jLYYLQhAqkRQ4c5jF7zm5RB6Mzyh8dy5cffdsWB7elbK+Kuyio
R2Xc8EyfNnnH18alHi5rr57sKKsvuD7mIE4kk9WtspIqCufUjM30XkEHfp+I+p0s9GLfZMKi0DFd
g4JPESd5nw62n1SmxJBVOu4tYh0fxxkB9dBpkZgJL6zWSXPlsHFiWap8JOKX3pqVswXz0s91bZb8
EtHlojZWwhHCzdE2W4N3TBXFXi1N1tbGOuHBnunWrIk6Hqg+Yb0kzTKMOhm9uDLtrxO49SxcoYVB
s3cr5dTHjrlnUsi3Qq1lmM4FhXFo30aYtPPPqtS0s4BB9Dy16bRDYZFfLXzMODTBz8erm/iTPXWQ
FCl6Uu0VtC9TWDmOykGtOcAaocldHZHtbdo+8zNKECkSpoIukpTbEW35bnfckro2ms65paj3bVS1
G1ox263UWHgOUx75zAz3cw0tVVG2WP4QPZ31LWvbGhccOE7QLLJlHZcLLwUWsykNFb9rmxtb4PD3
M3yEbUtaytMGtmVm0Y0Pa86Ml9MAyZNrdM7LJItHmXXTjhIC5U3v8Yigjf7ASMgAYi39xgWGuxmK
qCFLj4umbdM0GFoKQ1k1aB7knStP0PpMaGbwGrxwXqdO5ovezNt5muOg09fHBXfbaU41wcrKybZL
JbbYFRCcRRtCUot/wJLY6j2PvBGmaDhSvxXOULQP6Sg6Ii9dtJ9kdExjeTUi0wzQ1LI9rOr5LspI
OfRBBjRYQK5er27O6Sru7IHOqTGk9R6H+zYvwYtegINJVnEDZjaPv7ABF8BVFKp/41jSfkwzLCR6
36ZcYN7PzL/r0WRUyf0sLnMzXLqM0kSn0TK68PI5Q6seBxyJJSIstbSUaMK5Qo0eDc+i5lQjWVB+
nUvjoqjuuCkrPMoYSKdHAlNrKJa1O8WZWbPLNo373lxf5aqn4dpY19QF25utPRtbt9KCApn2DLnV
/E4rLuUlWrV+F53o76fSVjapGH+08aKFk6mN9844grt2bOOAzDhx+iXdgzsV2nECKHmNGVVC+D56
sCj2O1yBG1l4yL7RNLn4qdIadCUgKpUKLZVxBqE2lx1+8zGd/ahx6PGIcI/MPTo3xtQnWK6zh7Hq
btUZtPEAf9p4Ytlllzh3BCCS2vhIqM8JSAm4hyVerSrMxG3oj5e2/64aU/8JIzA7TlPVMcd3AEis
1Ny3mfuojoOretQ4UiZL0ivfr2sEmWldjeVopC3mBwrhvhatWtx3SfnBBRQaa40Bu2HnsJp3eAew
ilbJhyxLnvqKLD/t0bqdWcSxNuBaxk0LOfmN8cUKwbvM1z5CyGcGuuq0uJ31jA4LT7DAPaCyYMxY
Vj5pAB1eLMTZO2xS1XEtRoct9NIX57yStumT/ki+V7JTYy/KUiIqIuFRoGJwhzyROjVzQOE6nyyf
ODjG2BTXdIgdWBE2Bex6yQIlqdHTx0g3FI58Omj9QZ2qp4qhPzTF6mBpIMXRcTCGjlj36YLm2cAg
4QG95qeUNdCbgHIYWNJG+jCxX/ptlmG/IJzAWyhmKMlqB0JVlbr9ExpPG0chQkC16iyUeQ6uiw8V
eYVehcsF9obsxp/kRcqdrffprpWEdGel+pHPWDy6JbK5PnbHvB0IDsStc6UNYHyIk765YklYgxwl
wVsJVOILqFme01oRZK4THfjBnrn4RYHtJvUGz5uzLywlbv+tHf7R5fjPtj7ERxHu/vetz776xAT+
X9bI7HZuX/PX1sf4Quz7Rp/5h5Xzr6WP84XPtssiUGeZjBv8P8VDQ3zBq40//obfMv4Icv+1Rra/
kB9Qb1/Glhl98V8ygBrGf7O+CzbVfLebEx8H9t+d14PWJemazMo+0tc50GVBpiqLmAQGooiQmJjh
yKl1C8XYsMMnP481cbTA896vVkQfhWARHUZqOn7aZFrOK5ecd1fNkFViTNW8t0mvBjM6PMf2Wr2X
JuFZNlLamTHAYl8ztvo9V3pn9fOs5ORBnbK4ejqPdpsX15aE2Fkdv5V1Sy9Nl+QvPVPkG2lGaibX
sahWkEjN/A3ZhygJYbNl5ckKIT6Y3UqnfomStjxsLJl/T5ScHa/elkQuFq2lDANcNDO3xIIZAb28
v22HdGQ1KGSB2WqOERa1Q7qm1V32uZmT6VtJuXdyM8UlR50NhRPSJZSyBKkKtr25ktcfTdc0bzU2
HgIqi+oPhH3uEEinD6ccqzdiTuSpUCGXO9jU8rI0WfxNSzRatTOtJtk5cG0uG98aNJXjw5loopnr
B5PyF7Y+DrqoR9OMvS3mND85OhUyBqmXTbNgU+jqvW1PQ4xdc6C7e2g9y6AhS0vtB+6KdMZnevkx
U3GLXFU6D9QnNjiDsv5RX5i70q6DQD8t+g6KtygAzuXVwewplc+WdbhzALFG+7UT8jBSJcRRHJsu
IU1T2kdHLbXKp4GkeKHCYngccKXj5RH0RA90A7+mdh699koz75vJlGFVucpxWnn0g4+1wIUvhj/N
0XpcYzF8pZ+qkb7pAkqYYODeJY4z4vhxKUCJIWbmwJCM5DwaVRE20qXLpZpcSReCsMf7Qpnb2+J9
yL/JX8/GbuZ6EFOMUOJlm7p37JRYO6aIzAVuKT1GziZxusMvnV6TJte/anGZXtzV5E8DTdE+CiaU
zSAT405oNDywX6oTgus9D7SFoVHrR7mbFgEVGSOZb5XZ/KZUcXvQ1dL9MbWT3W4stQTGJPTJSUOW
l+7VzSxEePaONXa8WLceEoNiNmY/lp+eS6fPhwGP3vWGhFtQrK5l4Jo9ZTClqJ74PeZcb7rkwZ6z
7r4TS3KwuYq6ocA0iV+lMgLFwhkU8HatnxxdqmeC9TVzteTfizo27uVoDDWdU2Vzyiq7TmkgKfmU
v8407t1MhJTUGbw82NpULq/4v/ifuhJx33uzOy6Zde3obVKLI2UuMxUuOL36lQGN2vNoJMl8pXVb
Xw4JAeWdnKwH4ZAKw3S2skbEFL5QVPA4Y/kesc4NxRsRiAUhlGKNwB4Mt/PzRqv9Cp/44wDcEE9c
Knr/JkBz60nVk4EL+tibLAEMCQmyqzuu76jnCF0oTwCyeSvyeblGHYlIL2Ur8DxHk14eraFXMaxC
si7cwGjWQX001o6VHCQ02uqQfqWym4b2xYAoflFyx82DudWnvd6OBxpmrPu6adpt2eMPLejF21LY
tlxk7Wj0HRXSqx0z3jtLV1xIdrZX6p9n38gzltq6W4R2wy8SNdErI1B9QianMuPzUfaIW316HLND
AxN3P+iK3A52RPNNqr1ZUYKYnCmHLNO8ASOzR41Ax7dRJn9m//OSGLqxj7q29gUvy4bAQHdOVePN
HZo4YL/thnDRlftsFRFBME7rZVC/VqJvvCjmDpIvn21Ho/rKaxj16h2g8X7xgWWqG7VLnmedZUaR
1S+Ovdj70mk+uBIWIXePqwrDgGG0eIn19mxNWfbQy+qV+wT5xOXOZp25KdX6cby1SJQzYflJXUpP
nfIx0CpKRrxhbpydnTDbLlZF88jYSVa7iXUvU9EdWr27w+tJk6DrjFs4eEYgqE/BKwBpnFEnTw6Y
s42Uv16zvmFe6+7deTI2FnO6xtvozuK3fVTjVsN1NlRXFffv9lamvjW4gmMordcT1UpZxPsH4ze9
gs1FLot71dcWKwh4xeKSk+Q+W277adeJesjTWNytkKZCIrYOAWdzFrdjlnUfhWRL/AQBPQ5MmCiB
nE0tpB68RJiLl1NBY6O3jIKiohxVTzGNjut5ejFbRfKRyBO/pfThVLY54mCJLXosouhiahHC5oAP
xqzVhRlyvINXMQW5Bpa9mKNvSafKi9bY04M2u/NdirR5tVK3eqQ5pPR73Tp0mKcZtHnrZIr6leI5
CYaDfyTZHPnU57LIye2PaSaa4Siu7a/oGht9Wd0NGmjx0+qi6rROYTesw3HqDdw47dAZJ84YOun7
1CYYkJTyyn6+CCSNJ3fgtHTfxJC6pYIh+TCKgs+WW3dUgObDlTdhgTdQLR4yMzI9i8BpmFprFxBQ
ebDZogS9lrX7ctX1h4LC2UAZluZsTuLdHFsrlKQtHkuX66HZ29rXvjbkBoxFLnhnJDnryVG1fEEN
HvZvrWVO1q2taNr0Thkt92B208K6L533Vs8jkq44a68UcPr+0MT/bb34p3MySMf/c06up78Nyb++
4M8h2VW/CNOGu4cqegs7/TkhuxbpKY2UFMEa18ahjJviT1nU+IX5AmKOjOreBmS02T8nZAOZFJce
20iKM7Bg8FX/gtHC0P+mk97yklDLLIJYrgq1Vb/Z736zOeBp7cfKTp2DSj3mnUIVeTDlGio++OHP
shrJbZM8wbhU3NoJsXTnJx2g+xuFv1gIIrtTHqiY5iabNMv4YOh99JKvfLzvZDrPH0mfZjHxDF1G
flRx/vtUvLIjwkMWRsRWXhasc5cBhY6k0EJh9iHJnOJzHBfzOAJieUnYaFHUV7ROyUZIaJAaanwG
PU+uxDXS/WiORZgluoSQQfkcOkSpW5/IFsWPSrX3cVGsp8ydx699Ko1rHinDGgxwHX72+lqegXff
58XAg2Cp0uyN5nj5Da/W+HWOZelrVLL/RLKiPNCNTYgT7WxTQIvKF8yL3vFJj+f71W7F5LloET/t
UlEudZWx24BVFZ9GRcPyZjQ2SxLKikhA1Lpx1JIsp0OOA8P1KOZMvq1YSHaFFXUhO+7kTSw6y33d
KZ1tZ5s6uMbSKh4XkSRnJoY9gIA63qVTEW/ZKzoHHDTjVq2BlQRrWVqPZUJAZbtSlmkTrkg0nLuE
qOi3zZlyCJPX7uciaDImHt/aqk92bbjjOQAUIsrlYYjyLMw6Ya2eVtesECUw7JZ7Pg9qHmXsKBrn
RIDX5cE/2sN1tEu5o8Sh3uWK2nELodvPd3H31r6xWs2jLMiz4DZS/FqbeXHcArlBIcd+FjZlVp4T
r9k5JT3PyouypdcC359nDUbv3LETsRG21mUmX0JxE2OnFdH7xIIuLLqqPVd0jfr4jSXrcKuR9O/M
SU0vZdcfSLLcSLHJHD84ffOz47sMO7VfZRoo6Gs/pzgvDOR2OgK91Fj7j6pl7NhFkVO8RMOc7Ue9
kuHqLplOiMkavzUQdR+sCeJ23VQmcS69BQCpS30japeL15wKGhH7Ls5epIrYNl5WhW5QYMN4APqt
Lcb0Oi128lBqBOSKT3672kRddtlSj+fNRpUo3VFdaX1DuiUXFJ3iTrpBKWrNE0Y/vk3mZDF/Ce05
dvgz2FRDc1ofjW6Ow4l6ZQq7BSG8XVSJm5ASlV7FJ9QfiWEelt7IN11JTknJ9NZf6pZatRwYeyVa
D2twHXZqU/qyvxXoJfmCYbXXWHG7LHZiHQ5PLu402v/ua1UgmdbGlVXXjgiQeVxBpPuL2qosYatl
R0qA1/0WJSu90ViioHJa3oFGJdUTaIvFCrpuwFsJOXiDDak/aGVL23DGAKbP7nQc4H+AGCnzrTSH
AWx0uco7q5PDQcuG8ootzCAxVVvm1sqq/qq43WVN+GDmlHaxVHsWCsdA4eSf+BKNIAPRBHc1654U
kGqnYgKM0VU4p6AliMfWyDm1nJL5zKXcy6MJl+3lDQeQTbHjjxoKzDjkD7pRvbgQl2DI8MFWap3u
3PhKfCxByhSZH6ER+Bl4eAhBLOl37WqV9DgBLVeyenpi9Z0E6ri4e7s21lArLKgEWqZdrWboAo6n
HHRVa5LtMsrwxhqbYSV0w73JnBpSID0fCbitX3Wo/q92SQ4HH35BbCThbjT09hM7FuKEk1XMHFId
ZwpjCmdlakYKCZa5ZsmRx+tZzfn0ogtlDyvohR95zIBa076wGxSXxaqAzRbGHakcmjIxZ1XE26aO
bHac5vJUkmjd4rN27vJW+0aSCYdIzGZ0JvsEPUr2YdndVFWdF+UycYEOoxXnrW/FBa+2RrNtS7rL
JUWXLreKW31EMSAvNNONqVTHlOXzGSTY9DmqJqINRd5cRDQ1VJ0GWK9hD5u2c8pXbiPOQ9LHzeLH
/PpfM8fcaOagnMx8rs5iHNLg1o36BEGwgBRi9G82sOpHG8/0RcokDhch1U3RGMP9uPbOPlMNcBkF
m40QO1LBoZukw2Nq6PXBSTr9m97xltZ1OZFvkdU9RKGOraYpzsTEcn/G/senaloeY1HePHaKSE+Y
gpjMuawdO7OIdmpiZj7duHlAPSdHZhGfhdtluxRrxYOSD7aDvuLYWHfokkVGZVUS0WZ8UIsm2ZSs
jE6pVkTPSbVOiUeBZvfO+AcleFXG9KiNebdDFZOsu8X8veyH3F/1Zn3SR13zmyizAbcUaR97uNKf
ZTxpRwIy05Em1Bvn2FIz3m8yuZrWIB61eNTAAWcN1iPJNQk5J/lKuK5DzrRgJHU1SzMOJrnjiT5/
SwhGPuGgsTtvsLAok+3NfVUzVqwtQ38w2/7SD+gg3M910fevqrRuwy0gBJGrrws+qWpXY91Pvxrc
BdD/+9oaeBLlqpOd1xoDulfpQxnSMSKDRcdaGDbqvH46/WiFUb5wDW5TjmCKsrnhtC0x0zhZhu2k
lk/TPMttmk8xXivWOvwqi2CoquKi3zZJZmUfhlhpSEG26b/dg/9/e2RG1P/Tm3zHtxk+8uV3P7L4
44v+WiSLL3i78CG7t5H2Nzuy434xGZ0NHlQuNU7itylZd7+ImzNXVVWMuhoo2n9MyTAG4NwDxGDB
LCzQNP/SlCwYt3/nCBClVhnT4RLoJDSE9gt/8duQjEM5oVcHE/8IgyLhXivsCzWU60anw4vQFNPJ
CH1QmdgCSgPmDuqJi9g59jtQ4eNWl0Ju2YSglP12zfgfXMqm9rf5nR+NvxxwH1UDtQDz/WZj/u1H
mzvCcDk04b2NGa4+uzw2zg40KH4GJTJpmR4w2ghDMcKUtuU+ZvemNCMQaR7v0adTVeLS4caUbdgs
UM2/ElqIT0siJ0p4kk68lUnSWyQZx2bd8OhQnKAwgYSeWWE5nRIYFq1XO+TnNTDUvOqTgG5oupk5
8Oy8fU6WMeaDrlA+BY2okFcn6iCrcW6wOmEJ6x6w6onbsjoL5xb8tzMkWCvcydEfALQMz24NzGBq
ZQnQp9AKFveAsL8T+lbRd+lQYMxom8xPEcQI58D1F5sx0pLi0OPqyTcY0UjBZ9hYLuhtCE3xtAE8
+oITTtm26doeYBSJ7QBh4SNVk/bsluYc0IRJ2rA+NLXVPdkkWx+Ei+xsdzDDoigZD7MyKkFqr2ys
CzaeJ2noy7GKk42SZjlP3EHUV8Vw31Q96zy6HOs6IJaYvGpR1NieOpjTPRAY5bIOoPV8GzBAOKXj
fIzt9VGFtHduFyhr8+pWtkclu4g3lAwb39sOJrHbJJ03g7tY2b+rqXVVnby5knPS/TJyygdzXG0s
AXor8nsewp3+nMUta32hpOd1lSFjmbaRtDw+Law4yfrq1X62GnNbFGW1aew+yX3RWnCyGLjDtbLF
jvxNE9oUfnv6qkpGvQYAIalFX9Bie+FVl3eOlbcbKrjUQyx0l0Sv5RwSoRZxEFVq8drgyHmqbcY0
OQkU0HxQuBx06XrSK20+6iMI+thOrI1B/U+IUpB6LH578E9jG2pp3Vser7uxWeU0kzrOm+Rbztue
dpF29nveaURo4+mq2uN0crkR3ZlTN4SFkbosUklh9spaYYJNdf5CvX5N+rJFC1k1L27ThLc0tpZo
M/FApahCGpQ+8018ZS4UL3LcITTdSXzTYvL1ZbYsP25eqnvKe4zAmed2ZzQG0hGdr9Zbpy1rCyQ0
EXtttLI2qCd9IZXf29WyHWsNXcA2u87xNFna8O5cWXBl0d0lKOIihmEJIeIJbAbLXYNm9T1FzoI+
B7M28UqpxX6015a+GFEkR+z/1R29QLx6pC9X3xhvN7cx2RQYBDO6iiLjowSlYWELndonwsDV0S1c
l5dvlfSioYNtCKxHdBKkt09X4kjDiwsjGrc3OFfB/h9XrV2pqbm189ra53377CbT+t0e1zmMps7Y
02ZXe1zfuBE3QqlPnITTG/YGp/UaB+eXV8ZrJYI8bXPXj6dqWry6a+33KrLdITBli5WvJvw3ntBW
jP0smE28kt0K5LXx/7F3HktyI2vSfZWxf4+xgIoAFrNJLSpLsyg2sCoKaBXQePo5yO471qy+Q1r/
69nQrK3JQgGJBCI+dz/eRvnNBFnOWvlT3x/LUJYuII6MnXnCRu3OZYOq0ctD6w7ZZHiQGgsIrjY8
pWznm+zO4YuBRET7EDvvvjRYRZpVv6lYod9KHgfnPPLhEnRBlr8EbVGjstttuR3xIl2CRVEwsPA0
G7XoDPGiOCga3bKN2cXORiyKhLyKE3rRKfrZ1RfCW9F9bAHbrxY9g8AYWd+pyzd5NbDGvAofbpOm
X5OwRQ6Jr9IIW0l531BYZnzCp4x4Mi46inWVVNRVXgkrLfXOWVQXPdv1acrN4XPoRWhtizqDdbI+
sNDfzIY0wEguKo64CjqkRJxz5GOQVgPuZtcukX7gfEYPBG+sjyWI10c1jbl5aOAs3TuOU+EqmNqU
gnAVNV/KSVDe6+DycTG+48cIFvUpqv0aw4g59pcW3Q8p1Bxcsiq2x6AyZd14B9oBLcvtGw5HrrL/
wfMdaciIhl2tZPMFYiyHCH0BHZRnM63tdnLUqTVu6wENjWfDeEwWXa1fFLY+5abjOc+XPGWiTDCk
XGbqi+vWv4pzkB3VDQ0+SHZqshb5rkHJY2TO6q9nlX5uPSmvH9vB8KJzLmjkwuLOSfam2jaR/JrY
DJ8Hz6FjjkzhC5pMdUwqpe59OzI5av7VQpziRnSJnYxGdQOpgUeOm91AVgvQHUuQyZgbpGvgnTNz
gqWiqLZV5SS3k1uqvVMaFf9gHq27gi+6sxoW+dNdhFDL6qxNHk1oIJo/wOgbX6hqrB80bpOz49ZO
tm6qCHnV9fuv/SK5pgQpNjovx/2yLnnLFmmWu9Qlk3NVbJ2regucObppyp4CFF6n+mx7ixhM8Smq
r0kPh7OlLGZyNohEFMJMGsvwZkQ4epFJ2xbbepGVnavCPF3V5tBZlOfkqkK3V0Xai9QAQQoizL66
atbdIl/Hi5DNoJOPK3o1nKS/M4STPk5CPqWUru+TqxJuExaYMShG9qW5auWMq627IC2QfNqo/DIt
onq7yOvozXxe+I9R3Q0q2b/YLqRNYxHlrUWeZyyE9qMW0d6rG/Om4XHGt2gR9cOrvs+6C60f8CJb
GEUb5Cvj2M+NYWLunYCZrbG8V6cEhVIxEvIMBkNo5RH5/gCfoFHW+eMQifa2TJLpwaHFBIGvF/ZG
UpSHyS2D7As04zH0yVaxKHIvkVtGmAL4ioFvkKa7QTBAJhicmJYZN3dQ8xZfM4l5BIpkrN88HwPT
igJo/4RUMCwLTNfSBK3g1k3m3DorPej56CXAg5EcOnnT5mJ2VvRmddZqNGa8/ypJ+pvapP4Gu6Ud
JmtdONJdszzRH61ETcYDII7c2Xe89B/41lKoILgHiNCVmTz1ieZN4BC4rQ8pMJ1xM9KyEPBqdVh/
lZntPY2j6WzKWhnNymEWePZ0yoM28u1q75UySy4a9MxI7FrlSK/e+KKxaT4iDasvNSa8fSnRaoHv
psZXx4S740G7LPZ1oxnnGmEu7FVkzrwyahV1hN0q896KEZ5PXhX7dxjWqx9+Ac94nYlQHCsvyQTc
5x5Ugt1hDx7Rse32LL3JYmx5XWT/n+zxO9kDcAVywP9uD7opO5Id7w1Cf/yrf+3rvP9k2E4sFCXj
qlbgHfqX/uEAHlD07yj6I64h1P/RPxYOHFVIJFQ91BE6rlBf/tQ/LH6gz3YTxYTqK5ZG5j/RP+x3
OzvT5AuO9oE+w05RMSz/efsUT3rocNrqo8uNS0FmYpiPgvQ1BknS/2VNi+7KhZz01hgqeFaRr/Ft
F8HJ0HFwanj/I4wo86YUsthjl+2Xd0qGaMp6/dmrclYPUeWi5IrWX5tok3dmYXTfE43NaIxC4hqk
7rcVlPY193rAhNWJxg1BhJ78DLNaoLx62Le5MR94DsmnrujG31TIvoN1cgUc4H2Oy2Xgmv6tZjRh
scZGtaqOLDXHe2QIf8+axV9bbbucF7/3X26Rf7dl/XkvfT2ebwuCAyhYCvP5z1fcMlAfaGCrjpDO
IdqH2dsyWIV+xzX49ZHemb+WIylqY4BSsnNfyJs/H2lmMkULisxQsNj7WTy+WUm6hNbtIH7qrczZ
A6MOHn990CVX+BNykIOSqmBewM3kkSH++aCJsHBdsPo8dpLn4cpYRO4G5c3ddKOrp9U/P5rLhMNz
IGRI9bceCt8b4iJPsqMpBje9FDqfd6NEkbqj2uD518cyl9D1u1PzFd9WbGHEOZEzfz61MQ2zKE9F
fKyjMWOKH7GX39Q1nDJPmyhMUzTedWznb4Ym7Q9zpgBIkaxq/vE5U9zqUY4CxYM/37NGM7NRE52P
CSk7Cj82vOgbMkJB8OzLChPJr0/67/eQC0OSV7VHcpAg6bsgumajbLdaJsfKnOeH0tPNpjX4Blc4
qqLj1MRM5FVBsOI3x/37beQKBfeEjbJkJCbePZfSMBniUFbJQuTuWZTzaQ52Nww4crvknx3LIUKG
YLPM0fh4TfGeD+zExkBLHny5mP08Bo+JCrFK6OkcEt/48Ovr+e55ez2Wa2IvpC9IOO57TnSSQ13R
rN2O8zRD0ypZLZyy2O7/tCr8r9U278diyzlhgkA95yHD7Wr9fK92Mmu0LMf4GAgCoqxm2E+snKlg
wN7b7lMUxzmOL8xj8WpmgETSJw+j35RFv7t3lnNFFuRBB1bHkuL9vcPmLI1rAkzHoG9CNsgEtqAH
ggQI7AlmOomSTSPt6TfP8+sl/MvXdDnswlaV0l6apsD6/HzqfShZ3QUqPkaAbT7qROYnaTvTbZUU
0V7bFTEoiMhjsRroBFbrYOim/jjIYvyGal7rrxUC94lQHqYqQYF5EAf8MSfGw6/vhH/3e7p8MEt9
DVCJv4N9XDsYZmUYB2Er+TbBbNFr6qHZZgWZHOQBhjrDMjoMlGIVPqQXQb/rQgkIgmOXls7Zb/3g
iI/UvvUN2aid7KMyIY3tq9+hlf9+13qCqyk8Zq3sFd8ziISPs77JhviY+4KYRxp6Y8repWm3v74m
7771fHSEzPjI2IV4/Pn+3RgbFhcFuuGxhE/9QKsA6dYipb05axz36dfHev84vx6MymOLt+MC3F0m
+H+dHFNg7TbOmPA4JwW0Cb2g36A7dWvciykyIPTMahyms9mN6rORF/DvSrfd/+6XuFbU/3y7ejZ2
0wWWzge9IH9/+jUymnYsvhnBQXWDno4qs3iYtv5oV8cQStyDYUvx5kZBDA6oo0BkqiKwD3G8oB7J
EUCXDvvg5HfddI/6BiatqZOK4HzWUndopfl8yaIGXwks4Mc5s4MfPTa/F2/K5gu2EgIpfq3lIhKm
qNGee+614IGLsGc9kt6RTzKqxKHFmngTAa8mjlzFxrOhhvlhgivUrTIGTne5Fu1rFpBzng2WcY1R
YdX2xyL4kXuGW52KvEYqBUgeHLAZOw2j0qiLVrbSyxqBZmYBWNdyXulSMb8WXW5/GPCdQMalhsdY
N2Pg/Mj61qFro8W3uG1olrrgrs0Jr/FoMXUf05PCw7tsQli0oPgtTKYsGxcKlkctVeyH3U5E0tkP
jmAxRASr+eapztoWSa0+Q00nlYGazf3Gtz9Md2npc3gsocaDZzU8O0XTqc8zHsjNSDXFRS3/tmGj
i7HchfBYx0ODoyDOjGe/tKcL7xmaK+ppuLte3kAO7dYqIvFQ2XWUnkpKWUA3miGdM5bIKXkN/bzb
1nOUMGm+Pq3IeJ5hL/KE8szR+ELHD3ckSW9TrLPMnA/Qubh2k+uRDtNCRM8O3UUfO5I+BgFnUdzb
qaUW+ZifM4BFuMgW2yhGzPhNCx/cYqA1rRv+7GfzCgoNRK/Qtj94RY+v0rC4trltxW9ZmFs7EzvB
K2Mm4nF8aehqCeIcCMPAoGvdpsTDRV+Pd/Hk9NFGOWb8hT5THk14Al/MSTjZ1l7uw3wog5PXYS9Y
T5HXxhu6DVnAmDk8EwJ63Esqb+dLOExZQJNvTF1E2/TzQ+4aCEdzzjqni0DYrhNOgClwMszBuuEG
2+JnrV6jYYHVjB53L2Gr8V4DuS4PXcSOATuk8SyxdizWdme6hEaWnFIv2/ozg7pRO8CijazetQnT
/hBy4haOmbuejFI/hKAJye3q4ox4ssSYs5hOg0ZcaLmYT10t5AHXW/Actmpb0gDxWssivdD9A3wh
cNVdPqs99UwEoMim7kWc2J89DPerysnxLU3YgVJyZsBqZ4aOlrU2JdFGf8Tm6eiCmmquqvXix/1d
HBbTKTH9XRThu8E5VZ7Q61BbDHzU5Pb8VZ1zWlnq6XWUphndJUSTrCVITunXZ43mdMEBf6fHFuhn
T0K1pxaBCYlF3rGOP8gAiO/UVNY5I8YgutRdV20xUNBAzhQAwmJGEhLiD6nI2I8em2h6A0PxWnVG
s02IT28miT3FYuZ0NIT3qV48pgSfqmw9jR5vta6yvuQ2hVi2Z5KzhcQvKUGhuOC574NzWajwU1tZ
8zZypvEUZTkPYGdZI+XWdCtj275gZa4fzDhrTkbvppt5ljfU108exA8aynDPLw+RsPmOBYmCSSq5
wHXTIVavILQmJ7N06BQJYITfdPDQLcY6UAGZ91rzB3d27N04ZEG3bXvLP2Mmqu9YKDnRZpCLcKZE
9kFXU/iBkeXwNJUu64eyqQBfEr2bLqmCRkutr9o5aet9S/JYE4yU45Fhcc5BWUVfdCgePXcYHtUw
TWCwu267vH+wzZRVH63jqs7vm5ahoOKbltFwhSa8stIyWOuJtUjqIValhWzWUqiYR1ExLK0ivBFU
6CsaWdj6dNx/m5xl3s6fBbMuIpbVWsM/vmtE+wIdtd6YCG23Tj3DPA5JwFDTIlMn2aFpYtipmnRX
JKl7L7qx2UnVhR/bJBzONhTxNg6GUzJ0glCAN/hfQI7TiOcWVhOve56Tx8LX0Qm3CDEAi2a6w9zT
qLhKWDuwRcgM4LNabfNJfyow0+9EjqsL+IL3o3VGPFeyMK1nK3fVx3GY/XlPJxlUWpiqtGl2rMeK
sT5U8+zfjkYtH3SGUmWXZbU22lod2EH7B380rXZVmZ3+Xlmet63osD7VrX1RuSMufqCHbO345g1z
5IIlTKGw4mf+QxbUAeNVO7DZ/CeRw5hCm88GKc+12Wb+iQ+VSIOLb5KXMO69wuidr+MsmgdF7OU4
1gXMirK2NpDGEAiSglBDELr7QRnZTmLYAKMXO6TNm/I+bBt6rwIzOQZJbV24gvHGznsoN4G5712X
G9svLhRIk9/OfeseTq57YLpv3/ghqRTqB92nwK3NTe4N5T4TQAOyufFeOzLaax409bpvEPnWXlvC
QE4D19tHkOkJ/AxIQ8TWw5dCjPZtJ7zyTswBy37oD3JVNUYCISQ1SoesEtVsAA3VZ5eo9TOnFp5x
/Xi00gVOdoTWPH1v2Y7f4EHtHlrHgNdnVz6SOno273QAHHqZTLq37NiXQLFSbADM8pSZU8u3q6UR
PMmz+wqG4Z3XjOPBrpvIB0rp0d026+PgUSWO0cA7l/UYXJKu8PZO2OdvS3hUbtPKrz86+FF3Uibp
D9/N42BdKSRZsgDMkpJMv6im+pLzo4H+lsgHvjtbiAiABV4FkgRRFqMxQAQukWXPJAZeE7nf0MLV
nc2AyiRRosa7XbxNc+vrYMDdjrsK5gf+CBgTYThdkO/KN2UW/QkaB2qHzzuQASwsaBfXH8Jbe2+K
vnlLdMoz+w/ea+DrFPpr71xZsC08BsiwOKQ9ZyWcYox+RAYxmDZuoGWGDm0Hgd0aP2oZFZeR2P5t
PLjdByMM+jdHx97nkKKzAp6njyQ3itlj8O3iIFY0sxZ5cTCkM53QW/1wm8v+49TizhJpXmMAhU++
SupFuRxSc80qCsODNalNm9VMNaw6wGRL5Te/VTsenCIRFziJGTbIgXcGUhbR76zrQLnwcIoAsiSQ
icxgMbpqEmKb1rFKHmfTHD55dmKRlCUcfnT9kdeIyXSI+5KpPBSc2XgGUy52flryufFS2NuionJ8
jruvFXujRR3JABTnXAXtxV8Ca7mVmSiJS6QqC2A06vdBCjt4mVzLfjWsyvhhYf24CTwyG24BbdsE
cbAfndH/ANkGPGfn6i9BRfMeEoa/RoH/wMKYbG8gyX+l9aO0ybijlU8zj9cgC7ip8heoz2IlPONR
9RTQJaoAHqW8nYPguKJPYyIJRMXTyOJkoxTRfLPQuPzYY2PigvLgj/FbmllRsTbYJxP9Ajs6SZrQ
QCvvOjl8B2VOeSRj33WNaLADnKLWaS5PVpO7a5Nk/yp3F+CDH64x6tHRHnA7i2Q0z5ObAzQ38VDz
g6Oy8/bWVKerPJ+yPXHE8amWVrS2Oi+8wECgdAaZoZ7B7su+t04xg90tIG3oAXrKDr5gPGCNPX7i
Snf7KmoFdG0slezxeeuwEDoRLnMIccb1Lh9aHLvtmNyk5rhPgdSsoP+M1JCNctMO492ALWkVOaM8
uLqO1iLvATjUIOw7AvIWS8H70WwEDOWk2nktleHaKLeVUc57U8ZLWtL/oicj3+mpkue2YnYwI3wQ
9HvARv8aS2dXBpRoCuo8yJORxa8/D/l816XBCTPdh0oHFx65DIywAJ6lnn9QIP9i+v6jsop9xWp6
XSTZqy/iYT9TArlSrf8G1bdZzzqEa2iY7ocyi2GalNbb6JssrKDHbLzIIoKt2w1Mv13SVTgQFJWQ
ofya9361snKm2gRx2BFQWtl9hLz7daQORSYdphOVQTqb/Cn8KKoGt4PWXnrCv0MEd5rw9cb23py3
tHt9GvuxOXRtdOPWH4TXdxiDan8bNTG1CmF0UAO8M1333SfD0t52HDBa9exhbrpOGwdcBcvXfBIn
147VJ9k4BYJSLb1NEw36GNeS8eiQLNsJcuXjvsT+uhV4FByMlLAcwIoZehfl4yNlS/43/NiTcTKq
jIEO6IfGE3urtwb7jPrdNJCoMBzcQz9dfp5Vp4BnGDoPDC6WvqIQI6uP/J4i/zLVdJJ2JZKMjs0m
xKyesh46KLtTAEYw88abhjoamhF9hqayGdhypj7RfPhpn70wDX40geQLyFGRGFw8EJqlCBupDbF9
tkUht323gfWUMWdaNI2p7ILPkAOMbWDU7DFKyFFJPI+3Ne+4F9qspwsUf3bJNBZTT1NLcZsYLjCM
1p/YdnSKx9LQJPa6MJfdiRmP/fdktgZ6XyfzRpjpTFcorPgoHYLPYW4w5A4dZT6ajdtupavZiaDA
ireyHKR7aaN+2fICHZ7WkVs1H4EXsXTIDCn2lWnrI2t7frQhC8ojSjboyLNY7JSp2F+Rpv4is9za
xJrl38qJqntXk6rG834sQG9isSn10UobXqSNHZzsyGUo0LDJ9zrFjGBRaq7H6ysHiCbOkWMgAQSz
TyA+oZz80/Wv+F5O/E+y7S9V4u8VVKODZafVa5O37MFGbTEl8OzhboCeBIlJLFrPXMgnP+VixppE
o4jaencdFFfZiIwyUuzXpcyNszyuQCrHAN+om4GeEQ3pSYK928vcbT6WccsJxAk/kefIjCuvG+/d
ODM/5Z3gUy9Swe9MZdBRu8V4n1KpuJuNSBzmtIPfUtHXsB4F5+XkzMIrl21f3UPYX7tTUu9ZqrG3
77pM6U2fBpDp4pmpCMNLHgYdAOpAkHksnd6F1BSIPOf+h1x6Q/NE9crwD5JHmjBR9Oazr3VDKiHz
oQXz7iDjWYRzuWvTYXBuMioib10MIecymVHIZpfhVTCnp+t9Z8TFvOsTPgF7Jl5Jgm5+iNoGa3o/
UmPMq4FkjoF4zFCEbdZD1i3XJOtQ2Uz+k89qvC1Vz2VjSLl2qHi9WIVZ7EnhtUT5ivmiJhA5xDoA
MsK6oPWBO6B1FkocPC1+YJbIp9Dyja0fURlfZfh7WkVvzFgAhswF/wQHgj6qYvm/ZcvVMsHiERu1
1XTp+UFQjij03lAzJz5Fpuskm7RN/X3ccN9HNCHfmIo5K+FDNvwmAaAfs+kwVEq4m+yZH5qMRvnK
KLGgrqmweuo5RvPGN4fg1EdB+RpEAr4eXjcYOhFfYcfu0CZBM1EPZJavqWowhdWjQZdb02cC10AW
mI9sDjjDAotoR1YmTFkB413Y+0Vs3bBv0R9b8DXglUSWnmjWnC99U1pAjlpy58sX1mrS6Fs+59Ur
RQIceuya/pS1U3BsGbnmq46i6VeaW9ahYCLX1vw7X8cpZe7eW+c2/ToyY7YebfW1EJ5PACggvNTr
4CRaPp22Dfiyj3wDg27ymVhQAd7qvt2GYGYuNiPwS5WD99IDXtb1LGfznMFhuCtsGZzczOY3b9n5
uJuCx+Fe2C7DD2RRqoeXu2CoGM25lctIwXWcfr0wNfVq8DvuEjWLt1AkFZkFzyjxiFR8p0vtgq9i
d4oDkOej73ClyLIaz6Bjgh8KdE2+8tvlHtQLhFy5VUDxNcWkrAOm+WAokIGQc9j2AWvrv3uSffKa
Dcb4qSnj8cu41MKsGhbkmlFqFW4jlhW8GauEiHrTF7fR0HbPsRi8b1XvBD/icsQ97EbZtAoH3kxO
PNQ7WnEmUmcEdI69XwefE+m6BfwnkjMbVTLg3mRVDCfwOo39P6PDb40OoGv/MrjevLav//GH8/32
Nf/+X//v8hoX338yr0PO5l/8aXKQ0LRt6TrSttAHuP/QD/40OSgTDArvD4zoJuTbJf75r4yn+k/H
9Rj0K4KXHgwdrBb/ynhif3AJ7jAVN30EAewP/yDj+V5UQE1gw8zPQYvCvf6+BG/yobFRMoSDINhO
/tadLmQs/nI1fq/po+Vh8nBd2h8X5Rsnxc8zfCSkZXHozweQRKt0poF5Klae5JL+j7nk/+Moy4n+
xepOaGwcaRunZaH40hhfyvF76/7GMvD3a/XzibyzDKi4dNi6c4huflDiYYo39fz267N457dY8DmQ
ReHDUpppetZ7+VpiLy16CgAPg+NBITTY1MRV+ZDn9d6NmIn++mh/O6Hr0XzY8XDZpXyv7arRHVsM
iPowlSFrE+SBVZwr4LxhlW3++aFwWYBhcC3s5++FHNHIauRlxolFXvg8Jg5920lvXgTFDL9RrN8r
q8s1NJkGszzxl6bIdx+TmbpwBG0OVeiiu0mzNj1InUyUJ87jqg7HfE/Eafqn9wYHhUxo0i9LKAmo
0M+3nxuDQTUgihymlKtoMYJZSc3wIqD4+Dfn9169Xs4Phj7fXFwO0pHvNLHUNqq5qgx9yKfIDlZZ
AEbSqCHZpRaWfcgD9X01QUOk6ii6dBkJ2V9/lO/1zuvxATehItMVY713H0yhU0UiDZuDl8P8lQUn
KOvhw68PspzEX4W/5SD0IwtvsXMIJM+fr+dolu3U+pY+UMph7tUQDfEqVHZwm1k0qcwTwVHgbuO2
1Jj1f33of3f/2CTucZjxzDKXR/lfnyS+64xmaNn6gNF2YvTiEpJLjImUuyGAnbDFdFdTBP/z14c1
ySX97aSXLhtO1uKlYJrv/WZNZgBF6mt9cI1Cf6UdXQxb1gLWli3tfHCpIX4Er8PCiRa1k92Ibjc2
Nh8Bw479NPbDPq60frGi2TbXrOCTjW7Vg+XmvbthGzrc+NA0GQzQG263Y78zqfB7wv7KxksB8Hue
lim6opH03MgeZa1kTujBh/S8Bh6U2R+6RK9JJUSCTSgG2dRQ0SWrqgmiUFfSIkdXtdQdOwGRqbMg
aIQ0TI54FblTdBG1IVm6UXM2CzSRyHDBr4R5x406ttmGtEtHW1Y+f4jB/W+iKrKIC9ZfpZUrbAYQ
RD2jpoZEzfnesZobJ7XaD2MxOQ9D0Jl7g3H1trR1wg5nQfh2prNrUp6haqzMi8dwb5vYzrjiIdQ/
2qrlh7AWvFFzMm3L2bMmpI7GvASgwA4lc8F1WHbRQ5D0w1e/BXbTz3bHmCcYuQ16QkFGPH8fChl8
iipMXJscnfADvgTXhj1jftd6NLI1Cnr7w6idMVrDeWxffCv2IhxYrfPQk2lZq+UCY+C6lEzoAO2C
nyZa6UoSAUF7Q+jfbokBAAYLyCWSyW9AxgBEUpiPE+M2CZ3vbYMheZja7lsyjx+c2fruwzn4TONa
uHY6I/7UpuTVxYTmQ7sjX6RioA+SzbC/isDqHZKaJ0aCrg+CMZjbl07w8/KR3yMZVXrKfbd5iZdb
Pxtrdc69LmIxPgRb29XkojAjE+i1kmNY2P3G15XeEagQe5IsM/NguMhrH1jp1qMjhj145oUnF73u
wByFA1izXNd10u6H3EsPiZv0T2k5d08t4VTGTH7DjQGd5iELsXaLLEhPOFoAwxhlt+0xjdx5Ppdz
VS8I9BwZZ2OxbLptBz9JjgkK7Q72PEli6t/NYN1pNkIkYUJ0+Vg8JQXoTaCHsXsHXT3ZR2Eo9qaj
g7cAqgLoBcsIbq3BR15KI9TsJeYANJ4Z/90UaQj8Ib22sCqc01Tp+qY2lrkGbY5H6VfyPjBsY48r
375XYF9vBsd9CfKarRGxCbznbi8QXpk9HmtNsUXXjaSL0zgK3lrMB0S4hrJd2UZn7EuU4B9Okno/
mGy36wb+zlnDC3mLKBPfhl3twPyi9nxrNK2PFOQv1yMgzb0x5/FbhkybrJt+pGcuxKZgNuZ0gJtr
3WSUwD4zNpi3wUQ7Lwdzzb2nCr13yQR98qygJ4XjRg8ir8WhJ2YsN043sqNXcY9Gg8Dx1UxBKcD9
zG/pA6BjDPztpehC/46cjv3M/h85mSyTsR1riPmDBabd7pkJkVfx7pNYF69T5A4PeprG+zGJ2tux
qeWNObKTBm7gnlPgmHuTGqg1wVz5VJEg2bT4wgBrMaRfu4L2qlUNvSICtB60DxpAfkHZCVVLq0JK
d4P1pyTuN9A/F8s2X0VUVD7Vuk++ubNsDmbPQyg18mbPrYFvAUrgrpqqZt+W8Io3TRU3GxaU5CCE
U5+zQRJXico6ep7Z7IWrEDT2MmaLJDBKRU6KufeJ3zZ8tsxyPk3wk8/IhtM6c4O4XieyEPCM8sQ/
Up3m7ogLSMwAoX90G5/xCGMEMsxL7DBKY/AM0uaeQCBgwuVTdQtzSh//GChFtTftcN8bWxV0Afk3
kfnrPqACGamUBY7FgOS+YBHwRlS75THWpw8wVNG6EjGtW54CX+LYn+HlKnUAO9R/V4K5i4Xh7Hwd
lwwlFQkrD3/VK50Y5hvpNLwGGdv2H42POWZqgEPhF2TWtUxXrEK6cEUYi2AYy5lDu2oZgGFmbjwk
rd5L2YlyD19Rfd7GMcNFlF0OiezPUJUBLIjiyWLbbmfLTD1tm49qbJsN217+qqOpl4mJkV2ukzyr
Ca1HBCF2vU5UvvRxnu9bvyv2DOOCbTybgnf1wieoUTDEuOzzy+6VMHB7pMzOS0lAJe7GC1KxvN5T
Hp66v/XRmxhURfAFNPXWF5kSXzKNNvRXCOXjoUTWs1Yec8gjuRvy8Uyd8xMkFMYAqpT0eCCPzQfK
5/iFqZaeDz6NFk8mUb1PV5NG7CxD2auT2628gvWMZG4xVx2HJYwenMYZLq2pmWURfDCeq1ji5jRG
PnrPpketVExAu8yOvl2HQekyqMq1dM8BhBHmEw0O5hp0MN9+w9uzEdVHuzLSl8En41gUNSPIWhpb
FwAd8idDxfA6Ol5edo2P+GkkjFEHyaDXNpmalD5KLA2Q472tJ+cVsHq2LSpucMI06Wnmjl7j3wTs
4IjiO1jj7ojlo3luUrj43EjhvYyM8K5NOh8OPAqudPCNx7oqqASz5aeWvWi76mIruMkG+hv+GPpY
lGrft206P8yG6L/3RWB8yFUVMLxtE3PjGfLPzyltR1rFBL/s6NjDTjiVecsolBI8sv/3hMAQFTOr
2xruGH8uusZ78Mt+3Bkkaz/a3eR87LXhfEzcarrlTSV3UR0ZmymOjQ1jReSDICgvtPzqxzLKi62l
i3wLP3O8vV71lj4DjFSed0fN6U4URcmLr0nOrsY+UVPbui46YnolN+JuhF92Vsin28JP2mM+tTbk
xtxkUiwcvsSKQs+OEdpd4JnhEbcPiuv1Xp7h8j7QoUtzH6OG8wy861Y1RbBFwQwhfZHpWzHySe9E
neRHiaj0yaeNed8GuGpBuvEyJAHExz+TVUgbCN4mCTUylr6dr/EoRjwCzWUiidsppaybh8J0pD67
uFN6njdx6QIKw+wyvQhsfS5Ee7A6M8gG5u2pf5OBvoFvqRKq9SLyTTZzb6fLkQ+GmTS0GpAUdDVC
m254dauIFLyqS6aSdDJSjm6ZOohXnhn5W95N/ZGycfJGgdOgfbdZYa4LVZTPHSbUXccDhzUQWvCZ
sH8LfJgQhe5kTyCC2e00mNWpxj62w+lvTOA/C+O5EYLhGtlDVswO5KisRwAQYcNXs3WpI5yvtmyv
rxH7qp4BpFlkLwKVZZtXDKVtPzbfrj4oh5qZjTMM4g0UH7PTMS7tleEsdkEMI9sYYzgCN1Y/nSp1
koMzbb120oB4LKak9tTjkct9SQ6q7THxrQoQ5g9CooSSVMsYGwf8x7Nj1CE0f4a6N11rQIzhr94n
Ntk1+KB1cKAywtnHdLxSbxbI/VDH++WM7lQ0UiPmu9GtOccWdPM4f7LGFBC6h1thriJjz96+paHP
nawvUzF5Ce+G+gn+Bz7ZNDbOiOX3Hbn+FTw5EPSJ8d2rW7UzneKT3aGCZ8kU3HAa6SYTJU9ON2z0
zvP0sC2ZwO6DAMm4YF1yxvencYbWQm1ZIUZo1C4QroheFsaQ67SR+VdVGF8Z99+NFhUa1jjky7qt
PpIRpP9hjp+HMprX2jPCA0+rPReiX+NFh46PhQcJ3PtkFARe2gRXC6hbmM/esADHbLTG/6buzJbj
RrJs+yvX+h1pANwxmd2+DzEzgqI4U9ILjEpRmCfHjK/vBWZmtRiMZpT67VpZlSkrMwkCcPhwzt5r
626DvMYqYdY6JfeLH1WyqzJtyYyNOqAkfi0PA4Iugnxtk1kbLQrRtdtpisNvQUv2TjIYqPzGdujW
gzsVdyWWGOJbArSQi8wMD2Fsl9dkg5ZftIBMH1b1DIdgSR++cxCHGijkVqlLrmLbjdPeJElhC0iz
3QGTt9AEBJW8lq6argmCV3cl0Jw14h+H1v+gspU92fZ6cBQINBWGWwKl4k1XJVTj9DTawx8Y6a01
1XdPTdnBgC1FSye1PLXqi0CQyeK2Q5Ic6vw723vj68Bx/JPhtY2+VKZV3HRVDBDQLNr+2p/G4qIZ
aTBBuSc/yUUNZWYZqPAE8+0M5OctkgJkfZehrPplBxfrszSa+Ca34IUT2Ky+2or91WIgPfRqdL2G
XM7Q2Sc4lZ/80Zk58FDcHvV5hbSNjBC80A13Q563hzBy5acwq5snHPbWDjxOv0+toDv02pj82cgY
lVFo8HKLtvGvO6fMfmQ1BLKOAK9n+qgF9lroCHsjMeWlajiB21iF6HN0ueSsW8t2PWqNfBC5k62R
9hi0sPC2XhXa+JJ0jvvFLJwcPc/kLoMgnTboNElSIPQHWEI40UUNM8QarTaQ1jQqZrI4jXdxSTZ6
SSgYr5fVdk+QOIZThCyL3nBXQV1OK+yk91pKSzpvKGgxyy+o2ZJC6NGyTozySYlYrBKblg6CEYdI
QIud8bbw7Oy+SLLisplS80IpxBvs5zOkUbh0k9JttZ2oey3bcVyytRfg8IjFekBQRmu7j4DoyVgt
0TNwiukXphb5DzRCmksWxfSarWL8PBiieIirpPpStuXgbEsNN+si8qsogTQwQygBxxJ2oTX5DUmL
fb58bU8kygZ53ao+3ndm+xL0Lu17KruXg+fmB8HO9s+8BDYJtB1bjZZcTUUHo6AWWrptUBsuaQgX
lwlhHiHK6bK5ohAYXMVshhaxTON67bpWhdbPRpqqwFzx/f8AJ4XhmjXNW7T4bxFKNNMedGZ7neCj
Wkl8RY+DqgULl2OsjTzzb+pSFN8pg32Tcd1/QxB5NwHzlhuHlstKo9uyjauJmb3UBLmnbXpHoCXI
EqSh6tbS0zpb+jYKvrDVN1NHahJKRon7u5DbMLSdSzOBI7wASO9chGA3dyBog+90n2rkEnqxsIQG
ciMYnHuOOqwniJO/+Rlw1jLwnuQg+4NOZMeWn0Jwy1A1dzKSPxxixz53FLUwtPndpkvQvfHcxviT
5039tlMOTwyE1RbkyKCor/BQhO88OV0o76OugJ/RRnywysOwnbOnGkPb21iatW1EaF5zBnlkQk4+
D+Vk7yvUpYumb+x1meb+c+El0zKlJ0aZUMRXNsRprMYapxhTsbuFElOR6dLntzmcDHa4GvXmrLlo
3DG78SPNvnYqnbCi2DavSEgXP40AqFkRE3uj2ijY+7D2PufWEF6mVmLdkXPk5YiYJ3CKX+McSEaY
1NuM6XbdlQIQQTPoN77f2kDiMBQUTVJsR5zrdw0z7qIdsMZ7XqdvVdreBy0A2cHR7b0IinHb9Opb
6OXOLg5CViw2gnsmUm2XCa+7ZCvn7HuJXqsOqoT9b5H/bBvyCFZpU34X6P6/1m7TIgAKEJl/L/Q4
1g9G2foHt/fjFdWSnsFWm/etqQ3jUgNA711FqQrMZZFX1bAQhKVYmyqnjLx0Q4WyZlTpfZ4ReJxZ
o7cNo9nIQwnrHgX0C+HPLSZqtiqqEsT1Tf2fhOtktCzNbMmmikNShZiIyJX4Ios8YwYr7kj3Q3pd
uhY0N/sxQ0y3lD5ER3aF6Ypyx5+1GSHi0EcCXWLWV7IJd+1gPzscQYZ4urSUfsMeas6Qo0ykta7x
p/TS/iALS6ztinwGMDzqc+Abu87T/J+hLaxrS9fMm3rwflaD1B4DPr0HkssIFbbqoqI1rgZ/VbvG
zHq3iq3uDS3QlSpf2U0APxg/whmP0vsqKKVfqbNAU+LGAk/r69f6q6g9AvMi6q9OFad7I+seYMpN
u8DmdOs5FPI/rrueaoJgFMZbA0rVxWv89nKBqnQDPRCXqxvrvjKrLScAYBMQKM+0W96Zal6L2h7W
T7bhdFz048ryNP1d1Lantv+zfi3Sj377A9gdQeDw6fFLoHex3Ul/Dv35RNlTj/v4dk9V74lPsB1b
Cjyo77oHjmgmvACk8TmBvLHggXwqA+qkH1/l1EPlFc41bJ3G57G7VuJJaWVGD+a1HdLBs0ZdPA7g
KuPyzPs7dUMS4QD8XEpzmBTfvr+EPBU4Tj2dJSKIVmjnvtlu8e3j2zl3jaPuTmQ1ps3XqnaIqAl/
UFvpZuccb/PLP+54MP4AIDEULefd4PBit1cm4YclC9inoNXNPTGlVMu7PvoSarRakCjpMzMPSo1A
7YeB71xr5/2nJzAlU0fl+/M4v8zP4ZcmqrRK5IOFB7XVgCPZQFZawuSrLlMtRvlTevnqd58r1yMB
xGMyxYt9/O1V7K3cEdPPLiNl8yDt8QY4knNmPnk/FgU9dOBw1HdMhLJHH7gXkGZDoEa1g3YIuKok
UgtPwaUTU9D8+HZOXImbcC2Cag18Tc7RMPHqKJrG0S12TG2olrT6QEjGfanix4+vc+I1GY40dYN3
xcz1Gmzyy2uyyywRnnKK3RTppMk/a266jJN8FlztP77Se4KcC67ul0sdNRs5qNqzcwOrUOdRvSNz
eUEKx1+BCFiyunx6GIGTbkH3+WpVycZd6QpNis2+dd1MZrOOaQFtzZqzdKYEVbBMIviy3LiEwkb2
StCH0yc/ZTMoq1wgFqVkzOaqWacmCR17slCHq75oKWON+HaXnLUBNhEKd+ZGpfHu86OVSXFf5wMw
8K4czc2wVjXh5S3PtA6bJy/L9Sujc28J5Yyes6mFC5kSfoig6qvC675xCOugcWVf2PiCIov2jFGV
CWLih8xnd9TYITL/7Lbs3U/EZ07EkCak9yISX1QR2GZfxQIdZl+g0eqg8Gqx1i4HWcgdDa5+1TR4
9LhOvOIc71wmEi1DnABhIZcuXHlBv5ycYFiRlpGS9BmYIHC8qda/O7Ow6+MRcGKsmfj5UXCwZrHu
z93SX8aan3UVbdiR5xJDIe4MT1zw1gdyERUieWJj+t3HF3zf+SXvzZHSwsEDweO484snoev6Mit2
nttA/YqKbF0Bh7m0RdlsfTdoLkPqL/fQ24LDx1c+8fnS1tZnWiSalXfiC/LPOi1s7Rz34Dh+6Wz4
+xVF33uM6vHLx5c6cZN0eZmNOPDw3+MeOs0RNp1jm++yTlEaxdChqNnA/MVqoi7sOonIPqXLNi56
k8rdxxc/cZ/sq8C662jekBIcDXWHLAbOnnm+I2k02lZkgwWz15tQyL+zs/5Ho/37K8l5kjIw8MJj
sGY856+Dh4NgHWAcTXdYjp7GMe9XpjsAjk6F+O1hynYDwRTCKGQY7/ziJRTFNiAmm+YiicuTTfVF
xJ/73rLJJ7Z//O4DlLrgxkxDQmAgPertbZE2XOYyrbgtKxM77Lx5QSOBwm5NoPM5osX7D5CLsbVh
a2DR1TpevioaxKHdZtyZJu9DoT1hT/tBcvY9gsAze5D5W367BeFS6HNsbo05/9WN/cu3DhY9GnON
biy2xLWgYOIVFhExaUcA2+zmSc1zu9HTV4T/g4xt/uiOlxdZOi6G5GRXGd0+8crnYjTuhUpIcYXN
AivTvPz9V8fGG085uw6ueDQiLWgruG+dZKe17X5Mu52UCYx5/cxl3m8YpW7hWAdsBGDCPFZWkWY5
RBE/egfmfzaEAy4rB1bEj2/m/SzCVQydzQYoB/udSR+HzADI3Uh2SnCs5biHprT96eT2TVw1dNVI
FhNjcWaWNN+vlFyViQN9uwWZ4Zh3ANYbB0CIqsqz8LH3KRHTy7xMkJl7tOqmnE5WPcJjXWCYI+IF
NGhJ7Vt3ts1QBRcpzaQNtPv7abSqW4S40AXKks3BvC2oZhMC2hj7wTOBPOAItM789idfzBybQUcA
z9Dxi6EvGaaUN9MdJSqCJEcv3msDxY6PX8ypeQ+/G3OeAZr43ZYzkxXLSFCku7xxIKQV3U5PjHvX
ac7tWk58sBZ5NagqAU9whn07EVlOKvKyypmIhlLQzfbDi8HWh83Hd3NqBrLZAoBf4FDOs3t7lQls
0RC0WoKCAEdL57BMYQBEU1+n39Hr//4umjMjMlGWjJmRdHxCxftuQ3XkEx0T/8f87FRk32TKf/r4
rk59PDMY2UGSy8HgeBgPNZkXU8HHk0aWe52MBnV23/pBxbXYqMBy/+xTCDuoWOozS9WpOQ8hqWRf
jWTw3aGH+okeCtkluwA4aZNrOCiCTRk/lvF0x3R95mqnBjzHHpPBzsnynVoQGAI6MqzLuzIok21m
W85Nb+LK/PhhvuO1wD8inhuUDcuRQOZ8NK96rTm0FnW3ndv2+mMU6iRyojgmwlSQLowBon+IDbdY
tkXTfa7IgL+yUkdsQxdh14SJje4SeHmjwmOOP4OmbNvG5063xskn73DC5suEZXa88VF+rRMqnbHa
DJJaYVM9G41XLJGW1BeR4z4R7lEuHdITLtNcRI9J39UXvld8C2nrTvbsvuwzeUEViezpUSvB4nIf
Hz/IE98ajS22oI4jYAscL4ipw+8QDWy3+3z6UU5Gs9FLFFV+ShN7fP74Wiceh/EqNLRmxSq77rff
tQl9Qpe4oXeTb/zQKTisMkt/rkfw+w75gpi07ObMDuPER2cYlO3Z0bBivdtid4pQZBUU3F5sfQmj
ABoHrXuKmWpaCNyZD5XqqxUt2W73+/cK882bK1JsEI9nSkmQRaTcuthxVrvC40dEpEpvkCWTTZQE
jyMJdmdKYKfeJFs2ygBA2D2msqOna9NyqGVV7DQ9qJaweGlN5qK56YEe7DKbg/THd3hizeEG2UPN
oaZsFo++wMxXMowKHu3QBUi4pepXelVUK4Es7n9zKQ/3u2uzYQTX9fbWSkdGTZZzRDO8Ir8Guoxb
02nsQ9Qaxpnp69QYFXxQsw9hljwfjdEOXUw+URnY1Vl7D9XjxbKq+7Tm/ZHifeNiav/twxETGKYL
ExAZOvLjD9AYKLib9ZTvJnNC6OP0t6pVq5I6wJkLnZiY0RbDIRNUnrFxzO/zl812OeHW032OgGlg
PQXDsHWn6v7MkBD8jKMN/ZtrHI0JTyNNSkqugarXWEBwLfcgaqxbs7WByKR9zVPUsUb1qoQ2FgcP
Ra/g3Fo0bFoQrhT/WiRReUS7R5KyoQnDANiAGzoSjdqTEBPemB6BVPmIQ8sv9Xyb1Sg0ON2OS7Rw
/kVouai1iWC/toyZZgTV1ridvAzFRW7A0yiyWm31rvLJeEU/9hlwK7vDYjaHwwX/HA5OuDVUPV6k
GEavOhFmnzpNdTs38e6jIqmXPOFkk1ErIiMXtdAOhVK2KPqpXPttaKEYTPrLQooIylHcbj5+vKfG
Jqu4YzBOxEwpffsGQZ9UzWgzNtEKPldD8+yG5WcptI3ICky10Mo/vt6pL5w9N5s9yvco44+uZ4Vj
TnLrmO9Ad881p6veTC76Jj+zeX3vL5iJp6ag8EeNwPaOLgNwJBRq8IiL0pObsowUwiH3zyp5oBP1
ia70srXMb4HKzxyZjsPm8L68klYdmyfK4fp4Q+aVYLDK3qImUozTl5DMqIWrpHaD2l1P1zTOOeNU
VgaPIOmqVUo4BR2unIm8MrsLC6mvFffahdBbbWM0Ml/6qMMYcOUW4wdtLC/+bhkAyfsBPRBImmDl
NQZ5y1DzV4Hh35kJPn53sqoFzkeZ4CrEnhfz+4B+KF8QfhvXpM8Bsx6w4OHo4v/PJmsZ1k28dmAX
PFbCOvcqTr1xGwAtlFvKDMKYX9Uvc0Sk11aWJyR3ARAb6S4txl7fJkbTnRlZp+aiX65zvDHqyo5Q
NrBXO9eaycnUG5ZEe6w/Hr6nFkQbWh99BfptUEnf3oxemWVRgW3a0XRyl+NsWdThzCcQ+MN6PGM6
O3kx6pWcWTzcbceHCFsxGeUp34oW2oSJAE6A9rNBBoagsonOPL5TE4FN2Z/VAsveu81vOo7CjpFS
7FSsbgCikcbpj09Fql6aCPNWaJ95ksapceFwSuIAi5fKOe7TTHWZ8nzZp8VDCk1kMo29O6n+wqQW
vyqEFu5kWeH4Lj1xG+l+uBsDlM1BERFUFbjJxivk+ODgC0Cj7Qcgqz5+0yd/PSZEykjUb/HxvH3T
RFrXWhKyzemr8kV4wWNodnepoJn8v7iO43JS5Pg7+2beXqfutDEsEeXsOImWVHOa53zU+lXRqjML
6alt64y2pcQy/49z9B2K3kPGjQBr1yAcD2t0bn1+owoLMLzxOS2q+yz1zhQqTg3gXy55vGGNJ5ki
1NGzHblBW2IbXjyZonC196rozpw5xKnxO4O4qUWD26aW9PY5NnO4wTQ4GdOMOX5rwvInTEDyAVPD
XVK+DZYzH4BQID1fR9UsONaMWZ6lUP6ANnqSFFWe/AqqVWsiW8bagtkgbNQdGZTgf3OCx4l+djeD
07uPrsWsCdCqRjWh1QPRN3NpszB/6r2Jph0ewlDq3+KivcKTWK6h/b9EbtcvslFEa2KnzbsS5SWL
vWmdGU2nnoI3O3UpcTBujxuwaVrWJEeW7PzK6WJqJmPR6PIJ8/iBmikRoWN/5oKnXvFsz8Ax6FBs
PX7sZWwEY8VmaBdVMAe6slXl5pVOIALgOot6FqZ+/MGcuEXW9dltDIednfvRmcSzRxfkiEh3UBrl
OlSj/SkP2aGNcVE/xXCaSaQKv398zVe9xtEmFO2NyUPlE+VoezS6Am1M6cym2c7OJm8Z9q19J0Oj
W+ZitA5hkaaPMNhgH0gkW686ZTcE/5C1E0AstERbrQfnd+bRGyeKmKgSqPrMs7bz7uwbDNZUktnO
1DH56NlEIDeo0sSm9lW9hbksFowU5FMWGEQSkojqrhPk1/IcilicmCtnXzhyDJjZNNrMt9+ejjTC
zpoow7ccg1F5FTdHAvQFAsvcOvC6nIsmRpKIzwJKWUoR2dDIyl7AE+mue9Hrm3H0wU288uWbSf/C
tjjfhj1DCtsE2Z6DZ23R5b6MKDKZsru1tONwjWBQrpSWN7vQrpz1ELbOyg0OZpGIu0Tkw2c+W5wo
ZIZPT6HbevtUd77qQMHOHMxP3T8dMDzoztyhPy4cUW6L07oR3H+aDHdgShGk2UP0FBlauPl4JJ66
FOpLtAa40Vk2jjYgNJ3gkc/LEhDScFVW7mzpGcpk74Vp8PTxtV7f2/Gon6u/gtMry+Dx8T/X7LTt
s4jDQQeMZ0EM1YjjY5LG1i+LDsZqahyMQvevm8Hsr0xTC27MRoNbItJyW+bgXF5/od/CN3yK/lRF
Xfxs/u/8r/1ZlKMiJaN5xQf891/dF4hPsw//ke1LMbMP6uN/6M2Prf/f698OXooZmfDmL9Z5EzXj
TfuixtuXGg3/PwSD+Z/8d//m3xCGM/gGNEizGftfKIH3+IboTwpNz/mvBIe//6V/YirMP/guIVH/
K4HwXwQH0rupexp4gr2ZKS5tdgb/IBzcPyjE8OohElLveqWZ/4NwMP7ATkZ7iBMP/vQZ/PDPA7j+
awzx7P7HJutxWRM+BLZzyc6akUZwwvEnVA2QZqu0Ng55KYk0WnaATIedsshlhRiTs/8twhGxcZwY
Wv8QDTSjIAKFQKdq0sOe8fTlprHCoynwKlixPdEHpr8p40NgzlRbz8+TAG13zdT4y5P++1b+DwrA
a3aWTf2f/3G0AkLvm1V382Lr8lG+k4m5dQtVVE3qgJ5puDXCXFtaBO5cjp2jXyEN99Mz8z6Mc+bT
X77LGS6vs/5JIATuDM8/mgS0KMUZRUr2AbT+JQwfLBdpRzVtS6EkqHSszFq1M5RefvWo1FXDspWd
I3ee3Xb+xgoQqV+AT5/dWx2NdJx6fjttzQavlJtHjlgXhHBcU9837lMT4dFW+nlxQNtJgz8AcNQt
jMRX9qIitXBaWojXkg3ZZzxrze6GWyCkLgaZyXrGTFbUkAhdLuWFfheslePH2aq3IA2ggNFqd2nz
Rqpl1tRtu2HLPQLWjcx7ZQgGQS9SC1dmFm1Hip+oCxpsUsotErxbQTQSDB15pKAa82+uhzJFvBMG
5r1BEiAEW6fm3pBoV1+1EINmYPf8GgP+5QHvr1l+NbseTbEN0iz8PIQZvxHhGeJiBIQ7PKhq1tQv
Ks007s04NGpWFaqkV9RiHA1w6miXX0zR5uG+UTXjL4DEtdRM5LG3k8rNe0RH5vAEuQeyszAbnlxU
o7lZjE0xFBeqdLNs2aHompBxa1w6LTv+btliX19jaMxJWJ4q6EcaEt/wGrxmbS8KbFwhbh7B/SOV
sp4BLfuP7Wh7j10LenJBiB9ujIpWE6dffrReVzwk+MK8BVs2Tf0l7EF07+QE/2rNcxTt0opm/FAE
HLmnI9ZU0904FbzWbla7Hdj9puF+ml+JMz8cD/E97w/t+sGrtNFYRWmjOej7uv5TCFf5RnP1EDv2
wMfLfgSLQYV3mTYbpL8UA6bBb6moKjurgnyStfSdgLjNysDX0w/jvd2YDTnaHg71LMZNhROzLZ6D
uLE+jWNgP2qdY1z1XZleY5ELns1eRhgbU+kuIzN3nvMg6Z5KAThxY0wM2bCHNdX1XeMuw5imyTLD
gg00c7CtYQ00xHvUKIA1NyYcerKyOodhg4qdx9tHma0+Qz+02E5ZgUbWc9Zi98FiI13YBKuYEQk6
NBt4d5EoZf9zjMe2/Mofs/gn9ZXhNsp04z622YIsi4AxUoPDapdh4Rn3ozm/eYKZK3uhETRoLxKi
2rP1hJ3+K0+GjwvIFh9lUha9v6l1wL1fAFYPt7gA+BAIxOIBRyYHx22Cnv9gmVNYLvyhVrugi4tk
E/vmcI3atMKmTcL8pcAtTjhY0XIVEHvxRKOw1rz1MMQ8F/g60J9AZxYHEFSmuk+mSdMeARJM1WVj
Kk1dj8SX+0QvCqbfiVBo7yEisC+59UnW2g2ZpqolwRPiYoJC1i2mMeNZKqyQEcy2PqLP5AU8iFLP
1M5P3XTYSGYVfFYVVbzl60BOBo0Xh0+V79ju5o+iUZKfMvSCOTSXhXkftZoB+stwQ/vLkLqt+Tn2
PSYKNzBeE+J6A+S0G8PmnFl0gLeDeMAMGaj4mzJUH0BQbYPmh/DdJnlSzBAGWAOfZMPPRZbnZFwP
geZ7ayfFOrk2E46NC2QY8b6uwD9TQ1PGVQzLc3hyW79KXiwnN81qIUfiMteZ3pnm54z1Z6oWZotR
6sLPTXB79M5tXb8ITTEpUgUduAIaJetv0TBRu44C9ypnZ/nF6lp/9lzeOfQ+SB7NivZhLEZtjZkY
6HpR1kvRBuGFSD1/JWajxCKLOFRSwhhhYziZtcNbb8+l4hhY2lMQyrbeyNKyczIoyxFUdwpDtyxd
/bEGN7sUmf5NyzvYY1DIF0RO41IkbdPdYVAKvqe177wMAXAWGF35ZwT5l22vqnGdkClwg7o9+GaJ
Ll9nLFKrAl/gLbjF/Jshw2xj5nrgI5rIAPJAmLv2AlyhTplgV4SqkH6KyiB9MOPaWXh63QD5a5CO
dwM1eGyUGMv68nOXTtmlJbt23fZOesO0Xn6LvTa862R63Tv6EG9VhV2mGnE16HGRbzvwmndBbacP
NDjrYKOafM4DZVeQJtUE3NNLNmiG4f+jFsNS6ThMe50o7ll0yi+5lZXhKp7qfONGevEU2vb8aHE1
gHmy2nxp09W8Ku1BQJ7sMkx9Tv0zUuDz0lbKnTn3v+FImFc4DB25CiHK4ssa2Q6sZu7ioaqzYuum
1YjKNRXFxWx93ASWcRP7RbnVObqscGmUX+JElT2rVGdf5KNvdOsxc9qrqpH+Hbm49larpwTLDJUN
5JaTy7nJtq+0sKkOTNjjjoLhSO6U4XH4T3pg7wrHoSnbZdWO8S7Ma/u+i7rph66n8YHMjOmgcuWd
AyUdlZrYn8xRIpSZ4BfRtj/ezI1ZIBtPNXKvQAZ0C5gzLDEMW+a5fJg5czNoTCy1rOPPuhbzkX68
JzuqEfAL0HrmP+Qc0nWjPvH2QFoVmSA/D6zd0JRql+Q+7dlesApKTXFK17viALFdnbnqvO16uy1D
ucexDIEJ7CaEEW+vKv0pdMLe8vZk3pZfCT9lZiobk03Ox3d3dAZ8vbs5cIf9Ok+X/vbb6xACY7e1
F/h7mcxbHEdXLBr5UH61Bp8Z6/cvRh0J/CM7dA73R4/SYBLRAnahezftvXVRhPJijhxbalHrrT++
1PudNKl3VEI5DOgUNI6VlhWU+xJeAEYp6KtXecve36JqucTyVBzquaz229cj7gb5Cn5GG2XwUVEH
KQfzRppZOKBD//GvNZAED5YsK6/ZDtURzo8zj/P9GHEtXDMUYWdE0jv7TJFLcDVpYu/bNprtHpog
FLg/p287eRVqER6CKsvkZPJ2hKS+2ec+yWR7kM74V6I82jru2drfqatwoCRdx/YQxh5/ZXYDStzS
uBevqt2VHTkEzg6gRn/7LcEbJDrH5bTDcfPoLSVVVkV4sK296asIAgNSBzhHPYi30W+Mq6YcuunM
ke799MGczhTCbdGx57JvHx8ccX/sU1vutcK3vxgt0J9J79iKtHSY1jngZRPmx8Tk9fGtvv+wKex4
NKC5Wyo8x7eKXjCC+I8lP2n5uHwinQ+NDVJ1im33TKfyxC0yOKhVsQenoHk8VzmYjbhUZu4HbMNL
dL/FYaqb8msqGTDJfIIb5lHz+/dHT8eln4/m7J3muNOBwoYQHPepDSAsz6S4SHU33HLQOfuhHau5
mCU9qhNUwiUpejOC7e1LLEJXuTqf835StecuYiOzUAkQ83FLoIci7DYNicgZ2SYPPfu6nr1WfdVV
3eBvpFZLDheF9QwkoP5Bt0Sw65zyNLx2E7s8J297P+/R3RM0mZjNbQo083f2S4c0j6w+GjWfEZ4J
LhT5Ufl1pujWC5SJDLXYY1v/8Zt4BVa+XatmaSL7SuxmeKWONcRBSr3EZ4nZa67GXndwBecHLHzN
D6IOWbHgFM/jPY6Mq6pNq69dB25jJSJvuK1qs0rx+LbTnNDQR9tmJK79t796qpwW1SA+Bt7dcV9B
r+pwgjNr7bPJZdOtW/E3I9DEHnV6Hi36Sj9Xxnn37dmwQ/kaKOUwRFGOv30JFakMbPphH4Csxa6v
x0G8GKucYTqUnMY/fvynLkbdCI0/iuf3Jkp3gqAZVKBTBkQz13EOkESvXU45ll5ySvr4Yu+mae6M
6rQ0ZsEa09nRtiRLNKOsfX2EfGNxsAwiot7ILQg5JX58oWNVtYmUCpgxa7fFzSGrOhrIsH2iwS6d
ngVchfW1zhmuXWpu3aC7oH1dH8q4oxIiA+lehj38eU4kUIEWVTovg0U13IZRQp1A6zksLWtjKr9O
jlI7XbMpZVH1EhsddwLH8wok+PYVyNXkhVdkvzsRv2p3UU+xrqGzPN6JRJBGSgcK/d6cRnfVY6k6
ZERsbQMdvuzHD+3dx8+lGAMSgxolvXeivibQzaYbQrVXmFAvXGStKQwesgAQxheHmRJ1rn44r16/
fPpY+pgPwVLyv8QdvHtL+ZSBLVGW3NtISF+QcXZ7JX3v8bUgYjtYemHCpoQjDIN5ZgEwj4cIcciz
a8cWXHmO4rVmtdcvc51M/SYibISwJoNK0rTSY9dGqTXiJhbmkq67+902kkSuuqI26isvKPgChQqi
ndmMub/AXD7e6m1GFXFK5npNhYeQfX2r+DNhi9CtMruOt6j4omsHKnDOT4KRt/PgnsQULiGq3Vhx
PT3SKWS501gMtmOjgPB0BFHUC9OuEXr1A6Wx2k+o+yUUjvxFVHXB3FxCrvQJs3miVqQDZDc91YYr
ZTcaESSRfY3zQ5u2YDqI4uyafEJ7V5k6TItYh07hWC3MQuIgLpsEKDnBygjoVgX9Uw7QU7QHp2As
ZZdaEPRag2CpfNFW+HapfetdXzyLKc4LvhnMSNOyLY3U+EGqXUJRXIv5XryhnIuhY5CE19048GeH
UITiwoagQz9QwefZoUrnUJJX2KfXU+X8vfmEl0/lxUvnfU1V8q2FeWqNP6mWE2eRkIDAwX1ETpVc
4GwcbksYSOE1ArEUTkZQdc1NLWpeiFnin1wXRlYmt8Wks16otjGqDTqp4TbB+nQZ2HaR3DqlUf+A
K8Zd9CK2phdh5638pCpjLkX14B4Wg05U64Zbt56tnl/3rjSI2FwnZiwvO55mR0WjpTYXwaYfNnY5
cnnqIFSumimkEO5mI2FNnfD5ieQU+8b3qRf5RTXErXY3QIebllUysWoRiSIp4YSpqM3Ped9Zza0R
wZZZJQyX8JrjIiAmY3R6gqi0SF50nSIscNU2nbacyryEtWLOysApYATl5D3YC9PpI+dSkvjUX4Qw
NElnG4wuuipUSk3LxSE3bQe6sOYCzA5VxoD0A3Vv5JZKt8AiGWD0s+FUaJFibXjdB1CzZ/RNAfhj
Wp0FdTMSWcV4wN8/4HuHijP89JrJv3Ynojr+KsFZacsvI8LBuJexaT1Hfhj66xriZbn767OyTeYW
GGTiondE7D7nyJhh8kBZuTfg40Q7qr3U5s1GMo0r4i7qbeXaHIzC1OK5mvVcMxdx3X4fo6LvNkNE
Hf6v1gyG32ffEvNGIpDs7dzCkc+ZEc+VWEV5flEiZd4NEPim5evy59gtRcaQ2pVzaUEFnBbkMA8x
OROJXh8yL+AzzUqNTkM6Sh6s9DsC3WLPDKKbOq/4RQyd2gnATLOGAWJUw7d2cITWUeixkuTWLfAs
fLKG1Li34ziXM00zGl9cjU7GOnYrU96MRkkVOBzZG+PhNXonYz2mDUCMSUi1gLEi6eYkfMGNcJ7Y
mCdAdS0SdkuxSAkV0OKF708ZtXkttUiTUTXVeijOPWEoKp9cKgKxJBVD1yHtQOIipY8C2dR2cf/X
iv9bfdJ/owP677VS/7/qk/LV/LL8nuiT5vlLXTSYDF5e27cXP/7zP2YHJP/WP41S7w+OmRwcaIcK
HC46C/bfqHvP+QM3A7UC97UXSungvxul3h9oyAWu+VkYaFoOi+4/jVLxx8zwJqB9JkED8/69RikK
7rfrN1ADDsE4smZV2uzfPNqpCjIiMrSh+iHXtSKsWmB6trYaDPKMo8YYynUCDr9YjILQvg1BGgbY
lLIR0FxSBxjYFOX0mcb60zD60iuAmMXT0zClUhKexO5q1dfG98A1g4dsaJ0lId3WUydl8wmATnM9
ocnwN1ER4zUo8HUT5snfhHE1eOVWi0N8fE2cH5x4mHbZAPlWNeK71kt/PNCNGlxKf2Zz2cWezB9E
4rfOZQ3gTwcHbPdttpCZmDnAc/PWrAd6Y4W+8MiPmsYaR2xSjyuhdLEMHdF+xX7R02tqCZD9lIjI
mvcCyKc3Ce/2DvVR9l/sndly3EqSbX+lfwDHMA+vQM5JJsnkIFIvMJKSMASmCMz4+l7gqeHUqdvV
VmZ9H27bfZZEKjOR4R7ue6/tRpZJqioKmDh7NtIZuhX7LxhtJOC5R9t12h/ov+Sja/fmsfW6dG9O
OcjZYN4Cic2iVpcZXjHG+vvczEBLW+LezdlgHvgr1u3s5XG56SYrg5ppId5WhKxuO0N7n0gnDX09
L8cj1YJCUQXWFgt6MEWDD96JOaF0tgvXzKuhF87tELCPMrreM459EEhu/UsQvyyl7z02a/Ko6mbT
P6q4s7RN3jZOscYlczJDXMtfh1GlqNpNEsVQJfMeNEMoQRCd3KAuyNXyeC/7EngXnU3Mbniex3PX
d4kfaUmTbr3MXa6ySuxM38dwTQ/CcBEOK6ZFZjeiqiIIiDSQmQBLO5b5zp/j+GAT2fnaLKR8gyLU
lqeg8Ao77JLRyw420aDFC0aVvnpOcEOQQNZTYydtC9UnaNs9u5FZb49p4lSQFPLCyYx3suJUwicH
ss9BJb0tWzsyZWNfAHWO20mPwd4RFnJkdg1wK3ZJtyH2T4h6zKPMIYzNrmUZgZPqUB91rR+uKATg
VI45bgtgVYAICBGtNO9JTM6mdMxj0qtbZwUKLuNCrG+9RmZKZOFw7ybw5J6odhWd6bOmpQ8TMvNQ
8Wt2yTIBuR7mN0Mf4dp6WbyLh/mRaXoLCRm58eLK/EaWmn5sHFvsuliapwCFUihoZ7ethlC4JMcX
1mRR70a/zs5aMS9HHc4kH1BhPkNp/V51xLZKI/FCoMJaZEOA2pGe2nXkfVn5ka7sQ9FNnBRk7TMA
kp6k1BKKRjPvWZ9Frd30O5tAWsGCcZOVWhUlUgs0ojPzFOpk+tNZ5Ks3sXUN2D4gPtfJcraV8CO8
VOMm6OfkBhgW4uYM6bnE09dlGmzXOltjXZ04slVu3PO/z8+5M2ukBTNnPyLw6H82RTOToWbx5vBl
O0CnJFqVAkmCUneopTxWo/MoreIKF/tmMWL60l5fQdpPmQtUTm+Dk5eM1zbIjlxUiGPT522S8+4n
0Cj8wX5updz783SbQ7gKA6efdqopYPTGC8qy2H5xLdb20MVaYoeLn4WtK5CRI4RjaIaPmYZ4GMZg
FHTQxSRr5WnO/Fu7AayZlwCMdFglIYJs+wGaLsutSVUsR4eRZ6tBy8jn4cIBKYnCTIP+4Kvic/HQ
RNHkByeomBA2FBsziBL5JQ26/NAzV9nwrTAeklQ+DNDjSK7eAGisLhNZae/FepqJPvaa0M9b7dw0
pn3NTOme6qZLIz4wWhok0G+eTF9BztPOmNOvtCtJMfZariiZLOAUrlYVFpenfs6sbcux/tDBVSSb
zA2OIveusaseWIPrMEY9UjdzbfQiSLfdN86VfmMOXjyEjdXll9wE3ys70e11PqidXsuejZaTXq1p
Cm7VpKNu0DpQwdAjE7KMWcndzVO5Ay4GuzlvPEz27ZW8K06XlNDVXs93uUVck4OR+j21s4uwUqqD
BAMiDKgRefdUVMLdmeUSP45ivG00qaIJZOMzspZnJwnYHGnDe7sEr25iHs3eIc3U6BsMM8UUpua4
w0h1rN18H5g5CUa5tC+mkcj96KvPCuLdlhi1dlUFPzV45nmABYuEMi2GsyNH/ZIa1rUPmpuiTV9c
ATPTLBYiAe055KTdulrwnbxTVq+2E4n1LG00/95vrX2b5dN14qODiTxgjuMY9b+LODFeC7hZG2V5
fNU0oplNbyC0a9gCxDxxO+52ziDNs3JzP5RDA1cbd2Yaibnw98XUL8e07g5oRk9DFot9V+hZlARa
w6pSI99OFNESB17oj3bAtdDu7U/gqx0HNgSCy0wm8ENa2ho3YSVvi35N2B0HsNy5k35g3rej0exv
pkxSE8bi2bCHQwUpOBgWCmseBFtTdY+ECFxk5pWfw1QBMJlfc08U24HXg3CgFhFK4Ow8zNYRsYmx
s9MYzksCuvoyAS0d4ImTAdlzCzs7mZPsZs2aw7ZPrDdifhuyHwzwoxrL2WbrC06mobSq+0QbWlix
KnWjjrrWZNg45trJN7gFm13VN/2NmVQxKg+Ty0uvZ8T5as+pNq7leSQV3g1CzXcuo46HBbFGdacn
zQBcZi7sJEMAmvfXKtf8Y9CK5TQN1rM96c0HLixorXGJNmIH8tta8d0GtjzbrufhQJ01t0MXfJba
cG+kXhaRT99dW6e6HytN4wIJZHCGGyiQeq7JVTswdvVJLu43v0XoPmXgxTXELwwuB7LQCvmd49U+
jMYcv+eLobbooIBcg0DY5vWQ7t3ChSkMhDUqhc2LbYe3NRV4S+SYdgvcULw0QTeS89b6v1ycypue
NX7opFbxXvve/OiNxJWK3n+zhNNEpV96Lx5g2o1G9mlkemn+VCXknE4jw9PAQ35rWVO9mez1S8QH
lofWZIkdAWkcyAH/vYQbzLbMfzRKfMy65l2DoBq+We0AhLRPL4UuHCLIKdle3hhl5Ge4N7kUKzts
dFWc22WpD3nfEzrZVsmtYRaHTsQi0hyv2bLgqK+IIyQARz/tH6A6+ofFc+U3bQkOMCanp6FF0AzK
nIDIYBHZTdV1P6TwPzmdi51EsrjhDtc/Z7lxdivyVZtAzRsi67NtzJ7+NudyvUEoTnabYzJ+IXjS
RGmBjQ5Ag7zJjRY+btfON6VNtvRYG9PGS+VnkcBAIc4gM+6bZjAeOSBbBGO9BVDe7caU2NUqQVdR
2oLi1WrVm2RzeE4IvdiRqZu96KOy5qj2Cx9Rgz1bj2VqGR8MVNwPILPgzZeVyR6npGAyNgdJzXtu
wp9A6+TTHpfDyesXLcx6fVNZ5l3MRcXie1sp8lJSVvUlnUeUkmKXpFgSDOaSZ4VGYifKIXmErcss
65ZGKyqr4UUFy9E1xx+ssdy9bHCJlezLtmRIrOIUgLTL5AQhRXLPp3ZychuKMzfZTVHXeTjZ/feh
s7vIhOoDkji2IL/WcahiuUZB14fU/orCbgjG843iYCE0CFOVD6eKzJdYWZc8zS1kQrDmisb1z1la
IiPs2DcJErfnJd0VAzRTNOD2Xjc++iKlYUIPAW4rfmbqVIYFqduxZlsbN21wdzoq9OHwISuYq60n
8VxUPHelmtqQxZoR1VrVRJk9kLk5SY6TzAkRUA5hK4E8LiL9PgYwmGjwdwS7aICtm+epruot6B+U
QVl5Bso1b/D4I6KbaA3RtoFhTryGmljUx7q2rwHikr2bWJ9F1T+jqnHuNJdUjJJ7itk5MxHzzBZU
020ae4Z+2jjqVlPk1KhFM19YusE0LcryeeoAuDLLpNTN4BFzA8KxVaMNSVmohmZeM1kjRqaUDYoo
dFpRVsfZD6GMDekS0OURb24J+AtnHauoO/nxs2cUNzLt7Yuygy7qZfWL5rcNRdpujXypo1QTJh/p
gNSxTbFo9OWzsnPAonaf7KRdBVsbXxtNt08ykJYXtyLhcJlHUe4C3ZEX148/9FbhOIQYtifZc3qQ
M1LIoHWNCHcEXY/RBHd6k1+qae4vpl5HZQ2DeWnVOjPR5wtZ1ScNAAgcgtqKvGFAGhJ44w1b3x81
943C0N5Mf3lPGnfvGW1/wzV35s0QKGuWY+yLYYsqbV+kvzRfQrpwW/3GaPPmIIW6B0l2JmOb45F0
iQjtgL5rGq63iOmsvdUNe7N2DKZV+Rl+JgU010+68J8dL8UmkS3vk9d/xn1ClKvg+amth7679er4
uR4WOP9TlXzXNAIeexLSu2xZosTybpbAf/WbeqOCoN4LimNIckBziWMzBzSqk0RvNw85ZuNIa3M9
6nq47aHwE/0iYoKLk0W77105+KEgF52SkMe8XCqBRBTTpDvcku1R8QR/n1X60xIjz0g8zmFqmS0B
kHaBhzJ1yreizjHrZplRAqQwccJNtVXQ4NXK25ipqsCpmsQHa5MEUuCKfZ5piYoaU+lpVAuWvuZo
INNj+Mklp5HPY+8XDDrT4UhXLY4B9Pu9HVT2riHy+zzqvbsjlexpVpjLsVLdBX6f31eZZvxysrY/
L2nmnhqLADizmNc4znjekcminuxqxkqlzHfu8PktMaRc8BP9blmSISKvM7mxmNhFPQr2W0bG9lYu
OMqtekKxA6F5N3i2tuvYamxwBNAAVGi+iN/eJOgGSZNmX5e13UqvnTXWW1AmbWBCbpNbWzMt4jsX
mTAGjfnDLxnDl6aHaLfgHaOpJfQFH6LK5yMObWSL43BBfkdb0aYIUUXwPdB1gvJ8D91nmSLKbZyK
Nkgtm1Hw49tgZJzIJQsqMY9rOe4whGCtBW7PDiXfpbVeHOkbj15ZodQuymG3Gjy2nOYQtkun2hYi
2+cYr7lM+dc+1+w9V2EmLtaUvw0igJcc27q4pVRThUZuC5e5Dc74z/ywwR2/MYn8Ic2gjDRG3mFt
mPLszWRvu2guD60AL64UsQEoCfVzJ2R3amvrl1z6WxhHJJlwtzCX7GJwum9JBCrvc8XHWK/E60CY
W6MoxkhDVRa6ZPhuBHru82jn95mJuFHU5W3iei+1H7R7+muJY5PHv52mXWXoe9CIRHl2DncZvN+7
XrBR0BBuInzsfi51g5Kwu52Z34dqjplwW2iCIYOzz6iiUiPHfOzImo0LxjVWG6Et5lR29PiA5wo9
uGgcmpb5NPJNjfrVcKb3HWckRn2ITMPH4OUfmeeAO5H3E8rrY9bO5oYr5Jkj+gXzVLUjE2jLVYsn
mSl/1A3tGPJt0C8w2My9P42MURaKLjNfVNvGdc61o5/322VwRSSlUQVcdJbqm7Q1xibjOPo7kxkz
Z+fVJGGJV0QMrPhKd/DHKFFcBztNx0TThD0TgY0RZ+Mphb4EwLv6qLo6eMgTjQ/Sd6DayXSD4nB5
RlFxD4Oqw1domBur1XdQpQiJBpOO8at2tI1beHPIBSd/KuP0p2/IS7uYZ+G775ZhMhV/7wyC5Dv/
lxpmoPZ+Nm9BBxGtVAYbmVeRkTf5ZpHDr6aDmVBo4nsqtXQr19F/22iRMAHbF4vPrGQhWmxTVcwC
UmOhbcljrI75vUo5oKO2V+6EzNf27sqeBHqNnp643QSU1jhwKR/krPhLVHIE78TQ6o3cVu1UqU3a
eez13XNTGmelOxGJcOxuJlH0O6Y4KHCKHuL7YniSCj3L/oaNMhDb1iyCEIsEseeFZAHCqdaF7A6V
Q7QRsShoeunIuyfNdst2V/qoPXdKE6OKLFZshL1xR5g5Psw+2+V2YEgzrHiPnLhh5tBrs37TY4H5
aAVhYt1NbAQtE4vwawj9Pz2v/39qEs/y/F9P4lvm4yr7x0H81z/6+yBeD1B+IXRk0o6C4q9TeOc3
8l6xJK2Wo78ZlfTfXO6C7joXRxLJM/23+bvl/oZE0tQx7Rs6uCY8+38yJv0ro5LzZ6Mxa3NgOAiY
6MbRRDp/1tYpQJqylwmuCEenyyyKxB26kPQH8vca1x7e9KT0MDE49TWDqnhZJ+ah9DEDRFXQ51vD
W8PbyAiat8qcxF3qd7kIXQ2VduCp/RRk1qmreoMxY9bIjeOjzQnrOLApAphPdkSOpeehGOsbPWFV
ENZmcdOkStx7teXvSz1I97EXe2QDFvTuhNZDPu+Fu1+yVB1ZDbi3fbsetTBiNRTl7L6h4frm2Zvq
8bso3VlsJiTzkZX2AzEba+dQ1fEV7IE94hMZp2O/Jlwt9TtjAciwwiISl/FqRwPJVnlkFbAT8eTe
jfHks492A3AMJH/rR+699kHA5v8cayV/eU0W3Fl55R/ruFQ/k8mMZZSWjXGfpU1PJoClrnZrj6dc
eDoLaJHPZWTl5s9cr7mhOngYmDZa3KOwhlwSvUrOxFlon5ULajU0mpoV6iKr45zJ1yGY5DUfV7tE
6g/PadN1j0HQTVwxtEV9rD6UV04FETABpuck9i/vGWUFSKD8CpEaUoPQ1DMFDCYQHp27od4lO/Y+
Mu3xGx5dqkpfFR8FwY+HYMk6Imiy7HPR++Im09WdtiTOSaiuOSmY6OcmLvAOOx5hRJPfmhsyLbkt
6HNvKj7PRLxy62WgxrvU89PwmO/M1irOs0FKm6pLlxc6BRRZI+5vjMzRiB7U0/0k4+IJhWn6TXRZ
CvmmagD0zlNdb2GmkT+FxoyoFLQ1AD4znj1G1nZ/29twd4Ga6ZYgKgyHWLqscu2EIX00tkS9F2Rx
sukMpvFXxoCQ1nFaRVhVwSK7ydPqPsNPE9pcB24SVS8bZyHvxVR+eduQBnRjsoKaI1GOzKWYq1Gn
nLpJXmJvMd0w6BP7Q06jDYkYq8LeK7gJ1dhEVgc7O2+aPvowvzIuuAmChySeCU0Ar9yk5Eek87Bx
lUPCQTB8Vp4ljrpifEQMkJZuhrafuaun03lZmPayK+6q56DO41etJAz9xGRe5luSGIwfzAHbPkz1
sb8Oy0gTNMzCeOuCIqapq2T/YPSV/K6QR0QkGxrvgmEPLevczdcWd4J/sGnO21D5AWwuc27DoLQm
cnO7NM3CPjasF2vQ07PEo/ZBww8UxmCVnEQkVQFxTCr/e+7p3i1JO7N+RGYRPC1MKZndsWxiJ8as
siCYo613flqV74gBgmdG/x+aPjYbt1HWrdG780+nUay4WsOoq23sx9VrntBiEJqRU1mZiam3zuOK
F7K3agCv192GwRY7tw5E5k1qTtxZO/WA+C+wATzzfaYKA/2CX7P1UapEtMwujsGVnGg32cZmAr5d
ANCdSNjzTo7e4gOzUsaaisn2vu57TjRGIWQ4BODfhsLOruZA2Eed6WLaaEEX21vbU/qbCWeDbRiH
6WDqzRwFVZnle69rimMyW/LCMGzNlKyt7qr8zOaN9cr8m8hySVyWwaSbwyzuj3EyMXb2tbH5Pnhk
WrKJAudAhl4So6ub2zu7Vdpn7XgM+1sjH+5nOWscLksahLWWB4odiD2A/Evld3ecx5+ySMe32a6M
W6vN4nLbjcQBrllUBB0FsSXv0jmIxcY3GyKQ0hFSlKmNZmTozWMi2mYD4Glk0KvATmBB2biVd7IJ
gtwMUF0egrQtNkOSxcdccGzWhi33k14+JZXT71s1IjlCrcjsQuEywck0VywtBneLfHz5seAyKreD
4UpIKX3JvDod8BDqfn436UYx9GfQvi5cMQhqTfZt0RLuN7NnV0J/9WfBnJtBjWV03WvPJji/i6eY
hKUgd++MHJfXYhTq6paFfnUNL7nnWJzQj4vlOCTjC31qdZUoDq+90cZmqGd5/DLi9Hi1UMswKPIq
OlpUSC9+5a43AdAHV/Lcqnu9n8p7fLRy1yalE3WZsBF4sUzhjs0IlP0axzbVLprKObv0ZtAzjCRA
g4a3LC85IZKvvSsgI7UFl7A1aZivesDQyVCte4OJ0L1jPWfeEisXc4tbuvjR9pV7JLtnJIaFoUGY
DnTH1qLNd5WW9MQuarJGnjXHl6Bumkc2Tt4x4YV/MphfjgQrOnt8yWQUx3L5LoCEAFGUJM0nRjHT
LhI/xKoChnwH81Ew/xk2fWYsZ7NbyN3JQC6WY34vix7jlzStu7hmccshK+LruMTr1sJkqVInJO4t
tsd3ra/vE7x9+/X9fCLYxrgJ8oXIBlvz9rlU2p0Qw8CF1hxZrQdL+iPusEBmE7ezUMkJO7Sjd/Np
Ziv1YAo17oM5CI6D0bcvKq7L+8FwhgPfJ3dmKVwTrNZ47BHaMcEGBvZf37C8T7nNWoF8GMlpZoWa
W+QtAj7Ypk5G4KQs7DtumvHt4gXTsaUwIubB/V8F/qdeZ8Gn0VomAUME8rxmjPS+62Msjm2tNXs0
p5rPIoOjhscvpUjbheVEa7zCLhtycc8mZPzeeN64EWCt3sw6I6JwJruwS9dDEy+Ime0XgNjLVinT
rB+rOXjF+Yn7biCmq8FlJXsj0ivfTFksjMFbpsXiEQFmK+9d1WbtwfLwrYbklQkHi6kh9RvTZZ7D
8NiodIk9N82adV/PO1+by/yoZLKBCUxeqZW63q4JXC9KsQrGUZ6MD4thsgPtFHFMh77T0lensZzs
3XT5ikeYPHVnq0Y224zl3fUacmsY0zSw50xEpvcnHllTsRUaKqzQ7zJe3mh7p2+sbavPfJjMlwBN
wJMhExICZfYkK2/elpYsj55sgXz2A3K5erq6xfLGAUhGbPqed+6b14/9B24nOghbodNonf7Ng6N3
cD2/uJdGsSViSLvhw0GOpsh8qxAF/rIWZ6jCrpFroijTeNxxfVYcVD13D5YzijlilM9oqlEsJZ58
t1fbEr7gQ7rQ77B/Gp1S+79zL/rfp2NCSQ2E4b/mPVx+fiiSa/9RxvT7P/rL7SlwfrMMvA9/hDr8
5QIFm/U3kDErlRhV0qpH+tstyuKqhEbcd7lh4ZlYPRV/VTHp/86tiQ35n0RLvu3o8JAtjvfVUWP/
kzS81zhlCYi0AOgMKdcGvsBMTCxb5nN1g/XanpsSfQfnc/p1VIv11HbW87tdT/Ki9DnUK/77t2o9
6c31zJ++jv9urQTmV1EwLcWadMn6V3utGeqrfAxrJQk6P7uYa3URX4UG3a+5bbB2ROyIrQsp7k6E
nFLu9MEvKXl6dd+tlSv4KmLABsQLmpjxtDoIydFc650uR+z3eqqhmkVfeC0gAV+Jv3kho3c5tnj/
GWNTP13pLFfKsrquftqdtdbZJe6mrTZaHVFZwcLw1RKIqIxpS4wbUpBMyOKpZ8X87nklqS9tTdKZ
vaCvlLJp7zH2pN9kKfo50muYw1YymLsg9YxHz5Hp1Zlcgsp0mwxDTa+mG5WM5o0v2+eS+0kSGrgX
WXIOCK51q1meqq4XkW5MH4I0R3agg2Bfrg3ZjcwqrqaEUbbfwT6Qhyf5DJ8LkZcXfxzSndaly0kR
pU07AX5oUwy+t8o52WPlsZbdE4icH7QiuWNMmu/QhAmkTw5DJ4xXB32sx5sprfqbSjMy9vAl/usO
Z/njvFZcQR9MBIkw73z2O4fZlNWtJ/Xxxm6r+QAJzHrPbas+sansHuGBkTWN00FsK7NhHa5SBFNl
w+0GKai+k4anbXCBVg9ap1uP3Wx3b8j4il+z2epP5tBnG/KSq7uydbSLlXk4c2k2eK/oRuVUBfcY
3MpXS2XDziCQc1N1pr4dK4EHQSdwWYM1ySWibe+MrkGOPXVTFFgDOMecBwcugxYEnyh3uDpJZXAs
a4sFUQDundjabpU+VO1Aur0byA5TW0nSil4zI8YCw17Lfh/MwT9/2SFRIDYXWxlJ1FcERGvmAlCg
TabdZGjBtB0gBN80IE3hsTb+QR/c4mdeJfm9TuwRz1Sy3Aknb5owd2LtkyWHX4Zx0hpBKEcXNQUT
l/5cZa4Hr4YM1EwQoAQYIN+sitZX9gv6NzXl040bCH2b2m1/m3kNV7+6kcOD0pLlTRYNTDOtaKZz
42TJU2AL586XNneCJtkPg8dlEcs3F4HU3ArH6mb0e+DTeCYrj3uhRPibQl3YuC20IRqTSmPo4Lvx
kc1NfARiqo7OnLdFiIyHTUc8SbI4XBWXLxwjzf1cFcuhSqS+5WbjbDOt0W+JY6rGfT80lEzuNVuF
EvCuTMrkTqW2uXGla30vuEKi2WdV962NUy8JJ7+fH+kSrCRqqoJIgNxIDw45Qqd+objDffPGOBo0
4tJ3VTPrgAjw9bHbrkR50djxvHhGJRsmk3XcRLaUMSdJRtrmUtY/CkPX/bB3y+nWWjwCPDPhEIyY
k93ykgxtG2xzvJ0xY1gCcqzMyOk680qau4kmAr2J30wPZqEb31QbV33EsFk1cle4NROpW4IW/Cnj
g0vKHo+5GpqkXHOTZ5dpzKT3rf4YMwWf3efEK5vuSvZiPyDNwmZZnZbGRM8XdT5qqGZjD6YYH1U+
Jf6nnYg4rVBeFvroPJeIliFu+Q3ryh0xFF3+Y/aaxhB7BFRKUbgobv/T89H/dX0AFdxASPxf9wGP
RMmm/7F5F3+SNP/lH/61F3B/szHSuQRtWagF3NWo+8deAJcd8qW/TFr/3gw4v+F+NXEHrjPTrzbh
r72AiUTaAZSPsYyRKx7qf6s3sFbB8h8MSeTqYFLWdca3RmDSJaxe1T94ggK9rbo4ltrZ5sL7gA0Y
EAqN67EsFrH18EuQBD6YV2K8hr1f28vWGObguFJANgkKUIS5bnnGv1FGhuz8A601m8wYlT/xVUYe
eZywXM6Sa9JYB1uwNI1tVUS2Xb2MvbgfTVQPXMFRrAkzZaucs5Zs7YAhTlWErS10dkN2YT52FSc3
Ar11zJGUFxuy/hO6kzREOmxv5l4VP3StD2ffemYf8stqiNPFyfAwB3N3zWt3XehweWYH3ZfXLF96
NH6+PM9eyvx4oprvB7SLCBWp2PPoescy4ZKf50t3slUcsPLpIaWIenE3CW8ntiMsYqyBGebCzmjK
0JuklSIJoD4uutK3eoOKqMHCcKMr/1AU5rXRGRhbXWDclgLUVjyVm3wK+jDxO47jVDBPkX686/Sm
jHhg6i2DN+x5ieAQHglYFQRY82GV56VD3Oo5mncqc1ZQMRPcsLcRX08mUxjykjGARU47JeBClkfp
VHIzzulLMBvm81g67pHwguGtMpCgpK0MNvps1fGFARZ1tajTTAUR6ydDPw9VbC2PlbKE6LfZWPva
pygmICphXfTasusxe6mwr+oW3JFD7haam052DLXwiUmr8pkwBDraY59lKjvGQY77kvX5AVQT7RnU
FwqjwbZqKqvuqnkd26M508q0QzHSWgOi5sy58YRi4myg6NpqYkGh0Q3wv8O8t8VFQ3PZaBsN+WiC
96tRi1K3uItxEZFRThwuq1l+UOsFUYOibqlOXlx1rnqrzdi5qqUZIbkERBcDOg9xk6h8fIg7Ue4r
iaorubO8BY3bDveWjucRWa/qrsHvBzireE5zbfg62qn9BQe9+fuxT+reVxUQvxeFEUsjJUJ+1Qtj
LR31WkTGr3oyf9UW86vOiLXkACel+mj9WomytSgRAr4G937Vqm4tW+KrglWB/IHzafWvSTO+4o+m
Eeckoe7loklf4t+rYT6jzSnXIrkMozvsiq/a2cu0ZhAKpeU0r8UVFAO0x8Wj4o5r8VVfdZiZEhfi
r+rsrIVariUbjVZyJ9cy7q4FvVtLu/tV5fkP6LcLyOltuTYB09oOkAfV3Lutql5YAtAteF+dg/3V
RRC2oI7m2lpguYqPuD7pN5yv3iNZ2xAD/R4uvrU56b76lPyrZzHW9iVdG5l+bWnk2tx4dDkgQZ27
IB+Sp/irBfrqhuTaGP3/gvjlx/nvQIira/VfFcTLz/E/Du9l03JE/PyH3eLv//IvFdH7WhdSEm39
j6tFz/zNcTzTBF2zkiZw+vyxGuLW5rkP4KBwrbaAsf69HEJC5K/jGvpKsbL+nXL4J7f2mhfMD8KC
TmwQXN0/Q7+REUwJU88Fag2iCWsh5MB0k5c/vCn3v9fWPzILueL/seL+/ktwHUPt4HX+E/2hqwet
gQuwHHqB+XHy2gWA1OBFDSmN23/9q5hb/NOvgonPKWfDTP4n5kNd0qLnibUQ6ZEBmCoycSZTMMZM
QMUqMKMfiNjFPrs4dojYuP5vfv0/vZ1IJwB4MJ80DD60Pzu5EXP7zuia8pBX45NZet/8rN3861fI
Q/GPr3D9FQ4ZWfAmuGj+mQ2slDb3emzIg2OMTwDjXtrAICQI7gzZ2ZKn9G/93f/hkwPN8M+/zjZx
ktl4xr+w4fz5H7olK5E2Zqu2PdijJU+JKI0mqgOtPAmH20mBRcKOR8naKJGdTtA74rBQMitmzStU
qTaMErLQMxNufSxrxBHtaACLsB4CpDtsswFit0FehaY0IFHBmg0VUxYOydL6MPNxzwWl+1XZK9NR
dbr5ghIJb+wc9OWGuaV1wZEWbDCpWZten6eXOY/VTeYmYxJiPiCR2yY75sl1oNVms1fTZSnrIU5q
587pKnF1HcRcg432E1BbcumHygi5v8TsAHvSEdhI7YZ+WY7csG4RSg3kVJS/bK+41pn9iQT/oWM/
Go22X54affqeDCytgzJ3t5rDzyzxum1Es8i9kE4WqcogIDwff6o0kEcvT++aGStdFtRACsyy3zKi
cC8Tqugo0Nz4ZCbWi6cZ8SlPsy6SLa6NbBiwL2vB04RZejMbeX5ZApk8dS7+pN5nrhIMCfQ2dlDT
GA+k3RbxNof3dVu1TtSnKJZiyDxnJ9FdsR0xV8zrXS0JiK7PMbdkUAqf5H+ydybrcRtZt30i+EMg
0E4BZMtGbJKkqAk+2rTQ9wh0T/8vUHZdWeWyr+celMpVVpKZSETgxDl7r+0AgUno1wWGi7W4+Yh9
rxoRiX01d539ZFaO9pLkY/eJipef42Ldv5ALNl4VXaqOugS7nHYdTnKIPclVVLaUKAXdaaNqiR6Z
mAFw/mNSUddLkE2VYAKqjP2YFvqzWecuMu92RuiUGupVpTrWpEBfxDUYwviSJu26q9Ja+JFdQj5r
oUz7U7ohyLQuuo6ipLtv1qq7K7v+OsI490r443Ax0T0ftxrvRszSJjyZe4EOebpXQzUfqlK+Jnln
oY9L0admjpyPZp969zqT+YMmm+5mjbX6ThVLaDDovYlnmhBMZwt9300gPym3abykdkO7a7bSQ+eZ
6iqNptyH0mXfgf7bR5Gs6X8MpMp4Iv6SqTxhImO9kD10NsuoRWw13TdLTuhXTyNtzLSDiaj6aujp
W6bJCJ5FMQOA3ygOhmQ2wuCvOC6IVk9W01PYQ0bGXx1b9adygRrGHQ16BN5jrN/LqF3eeg0dAxBI
2p9xpl0NsW0c5Oyh+SroIyA1xO2cR60TtnrLb6P6RoPlaZpEwQ6lJmoSACKaG726+UBUiBtDtY+i
6WrOMk49tZoC29OSA72liLVPd56gc7qIkaJVZuWeL+1iOq9GIq63Ccc+ygCJEr6U0UhLq9B2kjek
HS+eQKkSD4P+QKaXfjRG+QXf4TV5zfFjXutM3xyuNBLa82DWKhijvPOxNg5hNI05okkQi/aa3Wh9
ixYWhUKInf8d6iEmPVhbi+9G8XiKmMbBBNfvkQ7vByZiR8KEwRYybj+sOT+W1ID2Cee4w7SK/Jaw
abt6r4xavvUj9MI6aexdP+/bJpYXy2q8oBJ5V50qZ+zvlNZIZjK6e0rLSSI1T+i9fVRwCZpBhHfN
ehsV+YCZPWqWp1q4xTUb0noSMC8ZblmvXc14n6Oy5k8MzgPIcug99OQ6dqGU8wBAq6NziItjSBFF
KarbvnRPxWg85WWCMDwS6AjcjmOcqzGrRpET5Zp7E0c5mSxexkix3znKMN+UbjY/Z0qOnxr6155v
Faw9tgT7U7rQdwOdVJzs0iD43qUeJyJo+lzTOvaphjaSnpctS1DYLCDkx3P21aNv9yKA5VwQW5j3
8CPsEHykCERRZr1PMKpEcJEMOxtwAevEnt/LcmHISBwjl7kK8s7Jnq2EPJvFS5Gnt12x2Y1nMwBM
ZO0KFxCQWh3zupCcD5kmriM9VFc7ovK2kUc6vzhCMtUdPb73NrIytJOuQ/bVLA7QBkoUUOaCEnwB
75GbKE1tLyG5uK6v6llZRwtpwic7Jd8w0eL4i7tV9elyKJaEyz8m85Ng5woN03NpRS/FRcIBDSxd
NCBkhtx4NFt7Z4PveBmW3Pwyj3Zya3f2+tJXMgQijCc2a7ruVolmwD5BttKANoIWAZpY7MhayMPz
a5X3hh+1Xb6346g/8XycTmMm2TPamVTCK3SVi1GERtGrb3XFv12vvy3yAeF8VxX9l4t/K/LPv3b9
r8sfK/yPl/1e4cufPJ0WFZINwiK+Tbl+63k5FlU+G5qDJlBHKUhx/DvuXPwkUTTgwtvKOUduU6rf
inzp/kR+EUMz/o0OSonR2D9QEXIy+KGK84jWdSyo6yQeOXT5fjDxGy0sZ4kM9uiNWioBn0pa/8Bu
8is42dbVrHft+BhbfXSu9TRRpxE4+X3SaGN5yJG/5gi6RxxcsABgYUdKYrXsgCg3cxzE2GDTe1xi
Onps4uhjr2WLQSJwG+cikSEyvOgyG5X1mWX/VqDNivlRFwLMrMeB9tJ933kXFFpI1YnENf3aLqJ+
A9eicKJ+ulGTSe4RC1k89Bg5GBkP+mcPWC4sYy01Hqpqys99h+65Lt0UBT4vpJ2l7TAOzrflXKN6
1oR4iFbCUkrMLV97o8M/09RyJnmlXLsTDGNEOqR4NW9yxEG3TgSIrybJrR8X6oNPt6V88P2ncFl6
Xj0RTniy8m51D9TrJGJmpTqtiOMDWAG8sLcmhHYGvfrMt0uv9F7GbG3joCpc/bNTDuuN3YxeYBke
4AI0NkfUPt1p1MiIXYVLJAz+wWXfp4MHHBrRDWMKr8NflKYG5U7PAafLXGpgo4m1V6Wk9Yius8Sc
o6S4JrXR0w+TJYrnJS9wMIyxEp+7ciui81nnpxVlMn9ym0L7uiaTF8yyjc55MifvGpvlbUM35/Dx
/vrtXXFnk6qe8efJQFtf+VVJYp1jo7zZ652qDqh6RixozUr9yEVGtjTs4LYTQeIMqcFjC8FY4qsh
z6drKDBJApNZ5OuRqUsn94kFAvsg163cyCKMUpVW5+fVrE9jZ/KUxI7OVpnGxucGr7+9F83i4iDL
Tc6TQ8m9gIXxnNE9CvntmPf63kpRekFlACxePHew0R8Ten2f2ybpr116qJcM2NseX0tnhxSi8owI
Kr6KWqSMhJ+BV4HMfsWRNQ1cO8OWgNQm5cjCh8xW5m/WahAXAnXT9HOrxSIJB8De7MjoIqppObhm
7x3of8qvk40vOoi6sqyh+8L9pJWKPGjvZfqQ3OZFzc/yVNHs7RrfnBGYcuQbBgpeO9luQNX1EJXe
cpOuUx5IHiHhOujRTWkTVkBkweQeCGMV+65I5HNB9X8oXfg9iD824948pKVL8pnePw61+dkaChxO
lv5SufOSBVtnMqGjuGoQkGEkl3G0DkEvbMLf3RXLvWM0gdLz6hxHrol/gnBDrDNFfdfba3nfa9Le
T8tS3lmpKc4qrjwfG0i8K9HGb8bKYWd45nomNzqnLWlMMpgKSz7NNPh9q1wwK4L0Z6GiafVNsLJB
ZcDBBMcU5ftqGKHS1wNmOD3KYE9NvYadUPY3CIWQnLkyv2JQZ90NVoxlln72xhXqdRrLENcz39U8
SgRoQiqcZt35PCIwvYmEiH9ZuiyD1AIRf+GrXxsvDyv4YWTeiRpD6pKBhgp0XvO2EmRALZR1tJfj
umwfWw+vGXJjkexUMgJ70PJqfZqtRWdY1yYELTYd2M6mBvJuLQejdXRjJxetBhERN7SEK0j/jT8W
NO8NyMh4PCscYhMbhfBVMenhaNvL1UTUyX0CqvvF4/NLwEPrnJ2asnb60F7j7qwioAraYm/IoolK
3C83jpKvt0oFgD5qOF9V0wVdYSQX24l1hv0FFgujK7OrEen3Qg5Aivg3M3D/SmKOg84b50Oix1Uw
LeUbJK1216WLgUy6dW7rRWmXPMdF5CsjWffeNGeY6apiQLdEgNodRDAkRRUnxnpiM0eLxK7U2yp6
/dhZ2nyIvnpzmZ+LmhVKToOgtb2tosZm05rR/j13E1lGtobMGkUmfjTfWXjCdLVdHehxdycmoobJ
cpiMB/Rk/KIh6eYQYgvvpBhJUZ90IP1+MmledctYdLnFA1gvYV2Th4ROer3pQNN9Cxv7t1z6+3Jp
C6f7TxPpT8ulm1/n9Jf6h3Jpe9lv5RJsyM0lYVuSXGly6L6jHgndQy5E/AsyDjKAMWP8p16SzqYX
QjLn0sz6oV6ilGIaj8QIBjeQIhi6/6Besn5o4+lb/iFNRMskOpSupflDudRmZrFOcZVdd/h0ljez
NuloVCaDt52ewFfhMDtx7l8Ida37UjvVRoL1NqBtWx3B/+kHBHbLeyfRfAaa3ljBzLB9vZor2/mV
Q40TInqwu7Ul7D6G+sITppgW81FDguEqeMPKMJr+vXAqFBH6AtbG2hGRkCUYXlNtcO7HWo1wlhp7
AMLyKCtYPYE9Qdx4hf9VpMt2It4galgBq/KcIlIOZtfhRD6W1kIgQLxa+ZxcoxtsG/cxMZx1I9tg
Z2HPEpjP6N5lVVP2l96lgt25SF8K/SVtnWFVh6oZXYafvV4ChUrhKqLL1ttfEq3v9k7bLHeWUVRM
LZcp46Wkfq9fCGdy0puPu+rfBfi3CxBn0V8uwLpjSh+8dXWRVn/U7PFl8dLfzyzWT+Y2VsfRu00h
Plbab2cW12Q5beMKHZgXkAjJCP+3Qwv+Jqo/AR7bRfzGy1ifvx9a5E/8VRKcYJJx7PWgbf6DRUi3
/sdDiwDnj4TPsg2XHcP5Ad7p5Eyp0bpmR9B14IKFlydQCfsYJKAxdgiQhrHRa8hXTgJfAP+jeaKK
8HDhruz6gTExW99TdZX5rrbquEUbVgt4Gw15N7qvJ7J/L1PLvUYoaJ6aGro3LQrzNJgKhdli0NaD
IyA5CwnaNlNWgEplGEyTGiP2NQFD9WvVu81ro69A/YDtEAFCL9O9Fgm9FVx94pbCH+ZIXcW27ava
cJuDUThJt+tzbXvJBy8yR7R1Z7SD90zpzi+eKBYQuPbu/EDknvdcpmJ+6HConqJ8Q4PKZnagOBpV
Xp9rIlRcLKNO/967OvlJVQn98CMUSlQfASgmUUQLoAgF9oeuiN8AXoIZacRgboUUl20ffHM2pmRd
a+oox0Q+rZM731USFGovdWinOBnFbWxsuVaNQwTQt5AZJMLwSx0vg7GFprB/zzrCstklt+AUwkVf
aTrqoz/Ljr9mzhC/y9qy3paY19Gb5A0wwODdTpAr7nQZG5csSmimK2kjRLO9mU9tbnheN5eQUzOd
z06mKGkvatLlrW0CUKhIQLiVOa4fF/4lTuoUEEeUjidZQw8lXIrXfIuDwCtNVkE5lzAXua+5wt++
0EKPgavii/CeDbV9w3Si5zu+0r7/bMPonq+nJgJRO8MCLUO9xzp9r5UGH6HGm4sWfUz40+0LEJ8g
MKEpYwfiPX4jcbKpa1ZA1HGcHtqhRAzfbC26F0pfcJJFuVKtj9P6NYm2uBx9rLznpZgehrW39guZ
wmYASw40G6XOvTOaHDggTWhBI0rjUpG6/gqBYLtrS270HIBGtF+amJ+0RgZ/OgmqSN4JNxEyRCK2
aDIxixlG7gaj6/lmPTmQv/WRQwXQWZk3xJRsKRJxz82nGUAoo5FHmw+PdHh3IBPFO30LxUqmlkWI
Ip8vGFUJHFfXi7fHWNZUy7nCxp0GuUfRuBu5RW2OBhXJYajZTWLVI3nSshGC7AKOlZHDqmDplnj4
oPVA3QEVxMDVj4SC2jpvHr9q1fjuxu0+WaDOvqrtK3IlFunSUs2rK3p+2NDq6YEEC+J0TEjyyzh6
u8YUzStO9Oj54xZONSKYlryn3bctdmR9zWtkEyE2ScUlmYx4ufsgZCM0h4WcIC3dwyz3nik9uHAD
5E0ZNIXLDaMcUpAKdPTcAduS4AyXHnDVcfFA9PBl62wcPBvb1w+idGs1wDltZYuLieHrWcv0ET5a
nwH7zNq4xDXlsDjtGt7zytAF6IQ1jYw1Sj6ODgf2W5rXpodlPejok3xNkvzW5+CIYJ+Y4jIaA58a
Cq7hM8+TJL7U3vVUF9712oIz8Qlj5ZaoQXzBodHcDmiF0yfyLvsgDWsExrOfkr8V6kCyj9BXdeDX
5MpZ7ayFckq0Ds5DzueVM/re/dovKtl5LAoGxh39AH+V7FilUU/Jw9LPzQ2Wxk3O0XK0X1jLucf2
7FY5IVClKPg5GKTNE/4ScAsDW4bOTPMyWI3iCoKse2i40TFBJnn7mutRe/SYihywuBkXB8TprU3F
FGFQy7r1sQerbR5nxRYpVz7wnOfcUZqHIyUsQCJdIh0D/Dmu0eDsZFUSMYbKFASCvqYHZRpAYccJ
7neRbij2lOCHHWHU3FOcfLnBgUXztXY94XA6nhDQFZUQl1bBrc2sZVpC5pwSiaZec7+IfiC2ZEtH
mWiJ2X5pt+I23UK4ypIRAVOWZrOPeNudA0OlXs5m1vHjDbq978jLiJxILO5uj18ht3sPqozIrsxG
dUclNsH4xz1voiIDrzHwmWGobPe/wpB8q9IRsDa9Mz6nvj1GxgmN2v3YUu7t9bRnf+v6wQ1pGGz3
o7dAzG1a13vW5BYv8W1Ly3qRliFcdW4lcjg7dcrcHhdLy3CzQ8OuiTvTZnUVRc4wQU1cXknA1seK
K0fXfJ4qCMTB3Fpdsv/YWYlxEfZhStz2WaSANJ6nmIimF+sjWq4wt11KjJD9zWSw3rwt+CVTbXkv
EmWQtVW946r0Tl3TbA+DVt8ezlHMDuwVK0EKq8VGhsSVFezSgxL+nCSVSHDyJMuR7UeWUyhiWASJ
H0PfEUTwrd5VWfVDAiwtmkmIY9JX3K8Z6mU9pV0WAOKJn3mUwgIfaFacoZ+yanI1s9eyJoEHsMXU
cOMN1OWy7ez3uiqf61h0Zy+alT6hyptm6hDZXQwTw7G3PYjA1BUXBNoNNDPl3iHy0SPW7ij3XUs/
oRViuLV0ou5I/4whd8bJU+q0VuEDIv/SopjTjLq97nGxB93gBLqTsQZ8VYpSm47DsJz6RDXA7jyG
M1s+YR1gOX7BT7pvmA/uNbqXdw2Ktax0HiIDA8XLYheNtsW0lYiRMHKW7KoZK5xE4nCVujLCBmle
iN14hUvY024B3mhmAV7n8igwCiV+ajYoGc1c7vPKGEEjpOse490E3SnJgW850zJCRGR2uF9suD1H
1HFpF8QwGWYuf+JdDdJcP7nz4Jz7zOMxl84YEGatobMxiSckmvWNptvVp3TN3bNjRNy9gqg+O3Hr
XexmDb2MZia1InfUFegjBNgkY0q/16z5rTDr7Glxyic4z21xXbS9ed/mkBa1oZ/cwFw7b++Ocvza
L533c+LSSOonD04VN9muBTwXunSKgMplGAjGdgyXeYBR5jYzeFITAZ2CRH7jdkm23HC97PdscKv9
qjBqLEWqE185PXkbUDZP8do70fRljGYyEDPn57idl4fEWqpQgJ3ay9yhnz5Y3X2vc1mhj9o7ay7n
XzJlXDSMub5A8H/jpsl6X66LFdSOKvfktZmHyBsZ0nupuYvb/tJ6CklDZ1MZ7fqyrW/gdLNFgXcK
4Nc2u5i64azKTpyRJWpHy6v7U+4p87qWcHG5aBX9wJbOjE07dkafudPAofkZOxYimjK/w0GDwMA9
a2suPvEQwNpnAjYB1W6fCgy49zG0JVnJ6mhwIjwg7aZmXQBzzjEMSwuh3sb51F57lDohAzHvZs2s
e5VC30Scpz/kNLava5Lpn4zZ0K6JYC7w3LsOr5uoXX8exoKZdWQYTIDnqgUvNNSfM8p3yjsFxID7
28gvRhe5Rxh72q2OAzrgyeuEuWvulQM1i8TC8gS8z3nT8vLzrG09SgGhjtZY1+814LLwjJ1Jh+Q3
qIMe5UlguTnz/iKNwxUtCejaZDiNlfXeABzfGYMgQa/Ri223Eqcl6+Rb1MEaCaO6nz9TEZNkpXVU
gqlehUuu57sBWc0latlR2Pm7coeggZZiajhHvZ/lAWDkEvYG81VrghF4nSgN3UAjVYZ8trfxqLTh
YOkPUPoKsYutosMG7kAwyh7SSKA6FFlpFkdn7cf4nc0/3ieZ0YaEmzQQzka4ZXESccqvcQgdBjvR
2Ji61D66uZqeNWaQLo89Alvo+4okhF7DCSRpdzQt6pu0Z12kcpieoawVp9WGJQALL99jfF9pjur8
z8xJ9zaegacpnl1ucej9pnYGHUDhx0ZKzt0vQKzj67gtb+nf9i8b4PSq7NwbO6/AX1INPJbKoLk/
9TaCW84uWJfadgF9aDdKP5U5Tfez1orVAIwqMw+fk1TthJVBo3KC6SWjT9HgISNuEBv5iDJq9zVq
CzZ1tNpTs7B9L7qHV1t0K3PpLKtXKzAKeMJ+3ON1Z7Jl6Uq+uknJU3ejCNswB10Z72lSWyX2+o7/
H0kCwQO6VYKaHzuDsExLUYMmH7lR1dRTiNijybMpbZtiOetinR8WYxIXalFCPtuJshzVRPPNyvg/
A47ldjb+TuQOOYbzPCp723ZpqdPF+qNsyxn1BvVVmxwbO+aByRgZATOJrVPnzGzSsq8eG+hO5mmp
eYqGM32s/DyaxvigzNHrcS5P3rOu0yb3EX5RzqOcTQ8fKWyxuVJNpDFq3SIiDhWzDUfPytOh+Wvg
gHhSOt0M7Ik+xfu3GhkhxPyg1u1QgjCY3JUohZ/FRGy+2x4rb+kWSVOtPb1kMpMaCrLvGiB/ImPb
eCw/XA7LcYTl4LLC3iuc7d9/p2IbvTjVJBoS+KMjoz5vmVUPvzlHr9NZHtwBul0wn+e+fYO0uDy0
A4fuj3TftJ67h7Jq/+4d/dkXpEtT2tJE4snz5I/vSLPwdSsegMzxGGMCZCG0YqC38tzTqwAwSH4I
Z2ODPChTOPLUjBTKFSCT4iA6ni1B3zfbYYIK/a8vFZ2dH64Uc1FSiWi9GA4NmO3ff3elkIgVaTOk
2TGqgXWFZc2Y9GU1V9V/NpeVDCaz9Khj6wqxiO2D0P271K4/+a4wiAjuYASHuEONrTn73TuYElvU
qzHER2v2XMhrVR+nofJEZNwKOqQxx5SoOaQyTWJ449Fa0Qfto9u4GsTF1ZW4RULGeeQfXxZm+PB3
OPChhPzxBqqkipgQmfGx0jg0tDN1425OwV9TyxP3yJiTmlmVJJWE2hg33wTY/3M5fyzXPy5n4gFQ
zvIfDm/wgP54TarFyVU1rlyThaC4I07yBdVJD+cn4wtJFguTuZxcecmdSDuJ7eD2LY58NNvG+GTa
C3MSX8eWkhyHrffStLS3v35k/E7Vlsb715fL+C/BAYkgKA1skjdoIf5XjmMitBYpv6MdZGKxBxr1
SoqIq7ajTgUz4sLGT2a54Y7aY2WsNE/mMmEfWFK1Ps6ezfYUS9gggbVqW4SpyT+yO/HnDFMvhs7O
kVIazbZGAOnNhMUqQntqwBNlgEuQ7O8Y2OfxWzAwISc0b+x8QXbkciB4//iw/3ai/74TvS3OvxgF
fXSi/9svZkh7e+FvfWiPjjIPq+0htSVaGAJN9/d+MRxkaGuQdP9RIc+YCE85gxooXJu6hY3qd4U8
VjK2VAZFOtme23r5J31o0/mjpnxTc5sS85nhGMyETLHNsb7fkNB7Nb09O8b1qlsmppu0j5cBibCh
++XS32gDUUFNCUHRH10ra32a5Osr3TMbAW0qjj1ZLdcR7323tFq5j5e2Ri659jd1XB3hoqiz25JQ
bhaefVWrSnskCAmNdRWj0Uxdqj6ztB9HzhxPmQtUiEYy0lDRtLVf9lkb2H2/cIRbxd6gJVvBa44k
8A4cNbxvkOVWjEUtubFl2Z2ZyTMnbaP7aW0/zX0dbo8m3wSCdWx7hA8uVnJyouyzMBENqtwLk7h9
VzRqQ5U1fVCOXRZ0slpuoi4GvjXoIScuRj/Mktui13aUVmJPF2o9YK7lYR8bB62yqhdvGbNd32wK
hsLcFXP3qcsXc8dDbnjrjIFeqFPSirDA6MjS5veXAgXq0pqcCVzvuPQqfYDwX4elECtNVANZTL1E
NMub8RgP2adu8XQk0vm6w1jKQB2yhW/qjcQ2Y0n6u5rlTxhU/REkypnT2E0iqP2oSx88vZx2AwQz
r1THxtwku4UBtghVNnqMWAcHqVP4ZEj9kuXZGkYm6MP2IZp8CAclo7BYVBx0lmajUFQ/lz169HlG
EF6J9KphlB5IY97Vq7PXUqQeFpCwEEIazGVqFr+17KMHS39Avxu4uYHGe42050XSYOBIae16Gqy+
VAAuDROSM5Ks5WTwLLrAVcL2L9wxBGEC5GYWFtwujXPDrJth5UGut9z4MCsbwBK9pJ0nsi/N3JhX
LXBQmgoggS3Zhgr8DyTy+JBI5aAz5NhS4I3Ks/ZS9/azO6/XmTE5fjza5l6rONYKfU0OTlO+reQk
Zu1gHrI66uh8T9UOVah2bg3vV5OubYhxzQq5JzYNpm9P3BJuF9+DxUJNG6NF4PBDrkY80O4Qa2D2
hY5Fyzq1Ria+LOYqkIT2V7OW/7wu5rybE7fZZSlzV6uiabquAEm1gnsBcEAbOnFDXNVqKqAGyxzQ
vWzDXHSftX7AK+DMUWhjfIdTu7QHNLfmrpaeubeRfu0jmT11+F5uKp08cen+HHu9Tlqi0wZWY2sX
4rPgBiFiMkOnSNOHciS8gnRrnbZDshwgy3UXyAduKBwvf1gxUoR9v94gbyr2LsClHaIne79y8Amx
pjq7aoZwNhiaDsusg/+PJX3H0y4BB5cboCklWmQns0+CYyyROO54ZGJzGqzRuOJookKNpvwTgWRc
RRdOtkF7I7Bjb4JHXrY+xkTqQyvTnyDg6f6gCZuV2677IWmcwFMrk5I1rx5zWPl3Eaeps6AdYvkc
JhLmF1qe7OyGYA56HTZJOVWOjqXP97xVde3gueAvatcVqWYHmK23NH9+TtG6QmLgNDi2uNkVj/XQ
WbmeDZOMo5MUwHKl/nWOEoJeJ2I2NxyGn9nDI2jQE5WNfXbhEG38mAc7ytodE54aYC2MrpVk3NA0
YfgYrfeLGoqHlJEW04G7QpFzohMZesBB+Wtprsu+6EgYH5zrdOLv9051mOxl609U1d4hbjPAE9CE
S0QZkJCN6APNe2vrGDSySxcZlfvR2ZJhi5xROabAIYDwuOwMZGVhV7XcUrHd3SyGs1el8ea1khSN
FA3KCMfhMTKSOCgdb7fxgHWWGhF97a9jT4vOWQE+WV2GFrwQ4hy5Rb7PCmPc5QuDjmXImxBhsXtM
oAjXhfHFtvvrLDZJXrHmZ3cit57UnCEoFmkDQ0yri+eNL0XUTWHTOL+CApuQweMQmeLiYgh15ZhD
d9u4xjmtMaFYdV0w1yELXe/uiiSqwkgmbhC17deug/qeeqRGWKuqD6YJmCKCd7Bryc65ZhIF8HTu
XFw9kXcsMOn0MvniLa53WczlWBeVuFptdMyjsbT7wS3o8bj8xmpdLzSL0zsyPwDf8xCatWhGroQU
nHi/Yt8py/L10nrcpmGhPbTp1dL2p7jDyQlvSvNjGts+SnE9TMrWfi3y+fMUKXV0FtDdymC8FhfJ
XhnDdJirWdszNqK5Uo7ep6EY7/TYgR2CR503TsIHLtRgsJCzlWAlYZPvwK7v5zZF/Ilr5iQS7YVE
jsxvtfldplDIZaHUyR1XktrStAOREdlH9t/0DDkeQ5LGLgcTEDsNzEHfRed3SFdp7WPaTXsDRGQA
sE4cYid7mcbUwpfiXpahv+rzdsvziL9KrXHORVVEW6tp9c3GFnvSMN2dMEv97DaM02rY/aBu62gP
0K0OYXqD8Pi5oC4engh6j/C80HAjsvE4M9MzmwBsmFtPzwPHW5IzMlwxGcGe3H2lC9O/84hncRIm
HSwyHFpWL48tvKsRtViDIvNJKk4B+EyWpevhNlh9ze6d45D5sAuT3Ws9SBNtHzbib6bi7pvFOPtm
OK5+8x+jPNvsyP+W1/9f7lOO4Jzz/nd5/SlJ/6ix+vaC38pqV//J4hStUx07IMdwI/6nrEbe4Qos
irhIJQnQH/Kr/6dJR3BhcNIUjs1/oeH4vaxGk77xlDjRkRvNy+E6/AN5h/hR3eF4ZLnjZMSSgUIa
kckfq+po0uIxqSzrNJKNEoVGtuYPCVaXMzinMZCLhQQS/feeCmrdC6Jazy6iw1cezPOTVaG7MO2s
f9Fl1b/EM7ql767kn3SMfmyD8O4MThcWb5DTiv1je8ZD7kqgpmeestGs36zEBIWkJ9WWU0W3pk2L
5eA1OtVEU6NZ/+vfTZODz/79cR8IBmJ99HE25xr7Q37z/YkjSthGbJW2QCajz2UbMd6bVOrd5B6q
yNBuLOcaz2ZF4txiO1ez6RE4h/ziy7xW67ujCKAIm3WR57ggzyW3VUGyT6fyXdfW9r1DFbUEpEdZ
p2gqh2vRyGZPrUxwCqEffjaX7NPm2JefEmPRodgItgndpfmK6t1xQqVWGDKuSrTWl4NNTZ3Zxive
JHxRTLR92nj1ldMDzkChpB7QulYMKsyKmfUg3XwftxDmIVomzM5SU3/RcDQRzuNc1LxuoIy15Rns
2E1FtgRdFi3ZGrpdLcfjQnsxyKEZ+VAqFCo3ZxpJ2YsoPpqkIp/EmJfPVbblXGq4Yq+tKaPo65bh
xYVijydRR2frY8iaR7iaLu1umS97QlZsOMhIxzXTmHofD3f7sE1R7vU+TUWYYe0n9EC3aXo5ekfc
2OztJgWeaT/KGURnylJ6IEo4RtTctnaB+i4ZLkLVya4anEmdPNcrYJgbIB/mVFHmCTn1EDdtoe+Z
CkeuX4FgoJywbMarBFavW7hEp1OYxKkxkapB159JN1EjDbT+I3WgofmFSWd8sqzPTra44BLt6i6v
uhnaZQvXV1k0Ys0tHdGP9VnsMXF2+25ANb0wEz+shhu/t4kx7gk+hVY2jiEr1SO+xSkfVmMZMVrU
KjuvmZuFrjU4b4kzNEdy39adVzTDcUlh7+4H+nQw2jP4PgGP/JlCntPrAS+CuIo0dz57roieoSjT
pJ8SHkLEoya/mpM+fhI1Tkk/rZzyVxpJW5jFSu4vPlli+jBItuQojaslfdshvCpk7T0msZbJW5j+
yoL4EJX29EgmVDo3futU9RhEKI7iIJsjTLwuWK73KqPRDOWryw6GXk/vqA3KLZELmC9oFXSM+g00
kC59w3lakPRU0WL61PdddF7VKk+FLrPxsz2nMa0qy6jfCPkbFAFaau5YFa02/FJFKivCzhtabIfI
7NPdQDSDtqtx2d6Mi6gWdJLOIHZqpG/4CHZkWY5o7xFnalG1jdyrrozDTiVx8wV9DXpPDJpYLNDk
VIxJp1w/YhtJeBQM1XWXTGkTttTGb31NU3jrBHOrz3p9QtaSPwiHTTMGciYg16fVJ6Avzq2hiPeG
3eXx27rtsy0Jzhu40GJixNlHW6/f7F+G1M7gZqUj756Dz/p/7J1Jd5xY2q3/yl13jhcHODSDOwmI
VlKolyVPWLJs0ffNAX79fZDL9aVdWZlfzSsnWctZcoQi4PA2ez/70FS4UgjardnUyepFgbVDMCRH
Nnmx4kbedux5tQ1pwsNXPaWSJAKplfrZC5HT+LVRV69oJmj/WNujG1+PcqYAfE4WK81tn36YUbR+
PE+JsTzlnakllZ8pk9jN/RSSwQDZGULP/CqHgV3aySVjhX9lkbcOMfJZUCGTPbGo8bmMCFDqsAPJ
8hXCeMGl0xL/XrWLfW46wTtmBVRpOzUw2F6xW6QMgnC7RmI10pZWidFtQPRObCEjhqVVxY2VUKZf
tzIn5xH5XiUDMilHUuOdHgbtSKrQZaFhV+RIBOG8MYC/HZGFuCPBjkDLmMbKcAjKrnW+sG4jRYUP
B9x3HpEhhLncnvUNq1O3ZRrjqJdKaNU5tmfshThOqk3o6tYxYv+5zVRXfe1E/4hZyT6OLJPlavpQ
t4Odm3mgAVeFUoSyAmOsmxTs2ismP5ZMw53AvnEVm2PI+lQDehhTzz8YqBhsSsFBvsHftFnCkEuw
q1S2TY0KFFcu5HRp5Wl1AT0xJoxgackQaujspsatJVbvVlyYWt4fPTawMNS6EH8Azxni0E1vDiyP
6KKNaArH8G3Z4bpF9wiWd+6dct6XygSoLUY7bQPO8cgn7M+CdsuB3xVm9/m/heP/snD0qCj+onDM
8leklL9qgy3yff9nJmt9QsnLeWEgqF8djVRn/5zJrtp923YQDX8o7flPP7XBq0B/XWhRuBjUe/+j
CwZlQoIBU1/0xlSd/0nhiFzp1+oIhwCjXYPykXeARnXli/2xOmoZvpSTLZqT1WsA64hn69khg2bo
3VtJHVAdpRdpwGWR0yOcb8n6fkRZRNYuJS+7tYkDAEFLUXhJuNcGcIoPw9zkFzjak/Smt8v2Cx4Z
50UudnmKaVgvepUagaex90JlmBQn/PAYdDNvZMCVlpdp3WiIgeO64swfaqLDZ/o/hUkuWmKD7Ejk
Zd7LmMyEzrk64S+sQWb7eVQTOqCZeGcEFUnMlA3P09ZElQ98O6pdnksr5BfSF7zfqq2yaFev2QqX
bP7jPtppeaGTLK4z3p0Qy7CbVuc8Zpzu7HBKL/UZxw2/bjxxCmHZmYkDP0ATgB65JSpLh+FR4oBw
6RONkICgIBuQKZ1dA7ivYgjK59lskrkY2KGH0tOZAY+jg5ubfHv9Tam8UwsUr0RSU7G0l8gJSjpW
4gQH4sdINRgQgWyAI5MvM/VMGfJN7C6NBQQjra3Fz+wxQoiAO8qIgS/Cn6iW9BtqlbmTsDiLaJYY
FwFtbBzDGqO9kU1he8Y7qR118ulu9NQNNwsRdES9WBgWurg8xpo27iNZGwy3KKA3ZkfW7AiQ8Vbk
BIzaXj2/OnUK+gKtrj9nc4xpEHEUENbsssUau686qyB6Dd1HVo6QvZqysjcQ8deJwAQEmdC4oiir
AJVydC0Nj0jJOJ8C24qywOqpV1I7qg7kh4a3baGKz2Gp9YQNhCQpLdpYX+ep/UiIUXRrota5Ia7I
uWWSPL7EePcCEjaIm6vj6ZbroUJSVyU8GafwJjeq+XMW15rhq4HM1BAhVEBwkHP2vCx8iolIOEyx
rV1rbCYZfbWatxud1rwM7TDfayiVF2aTzNyfkPtJOHG5/djYorxH9klIKVv7CF1SCrTMR9/mTH7F
rvdYMhMlM6EnlxG8fn9UFOh7lWfRk4l79sJbHIQLopbqgW0uWwi3JiGa2XabvwtlUQgDE0Pmheyu
3GasAEGRG/KGfs45tko+pLAmOqBm5sYyJ+dSoF2OeE4ueYk5cBivEYkbFxCsq4NlUQD36cx3PeRd
e0vFXj615PjsR9Kpvioj/iwaMhL63HVPfNPFFhun5c9dTWII8vfb0O7iEwlg7UOED/N5QO5I0Jya
jLe0avULbSl5lDeN6ZxUPnk7K62/A6gJD0LihosndqcZYUf3XuYOz7qd5p9nCqzPpuoTuHONm31u
MAURz8UdZmt9u0eDYGw9R/W7pLYvVAW0DnNyvkcZBAveK+VJTeR4oYZAMg09wdNA4QNmWyQuH9oA
Pbkpw3SCt1FTa8LvNrmKkUzE5LPkm6TXuoAg1nlbqQEqfYiVk8+l3zjgFYiB1dmkdAort1cGNNLG
k+Vo5nWvtY/J0t6nteZ8m2QFlR9aDCBYdJgO0pd6YafQptZFgcz4Uu+psuiww8BJoqNndc7VrNqG
W2Po7pfczQMkwtWbPYAWrdVS3TAjXL42KBSajdCgu3qFqi8i5piPUUyard1g4mMH0xBStXjRFXvA
4aUnSqqsUDtibSCnL2O5Q/3enoakjl4ZNibfc0Wp3I3NpTGQzC1tNQXxOJjPBpX9wdQchEqTUvOl
MdVuYJF8RbXCYJ07zor1s0C8vGuprpAk6W51m6XdmvfaC6Qrq5pz7BIE52jskfnGsPOngwEO9q5S
6745i5R5P/ah+zVTBTKXIVnVtu4qT4UyM99ZWohQDRHY64AN48KzcbRS56xmkWGV20eiJNWJdg+W
h7LQJa6a3hkJw9lBCTdvooEoCWGi3UIQBwumoMLd1DMGEg3O+xl8PEZhJSu/16c3kkjLO8E4+xhp
Yefzl6JPSiFEIKjz9qjJpkutX93Pbg08tWrle6VZ35K6MS4FUJLenxua9txjtovghJtcy64U+5Qr
D9ThZayTDUBT/RbrALoanRLOmqbHSm/vQfaxlxJt7LMwomdlCbJLGC3t9WTxbhvRVlvNNmKT5Y3q
DpFGUGs2RuScJSFD81bgGpPsh9BS7bjf31J2NneN0Sk/plB8iBw8sSJu65NK2YG0bSjzK1kB/JFd
OV5VpR4dyAAi89ou7H5vIVK95cotglL31E2CxOhbM7ESAUUg8msiiNynyA6tE+8QUo+qMd9ItoqM
9GVxU4QaoanGXB0FRGVfZ5IUzJ2eXGot2ed2WVb7fpiGwBqm/sVogUflLszA0cm+9J34mjZE5S48
Hi8J6I7AAHcqvrFc2FdlV5FiVMSGP5tT9y5AWm8HMQ/3qW7L7YdsuoqYfFgIlAOQ4eE9k9fuzPCn
3yuPFdzcJe01VB5TbNPFW/PlDdahhJlpR4WqNSHoVpaksOtW/oX0mmEXYf39VrjEJMyLzvfqul9i
N//eZkl3hGG4qoMzaDiS/xVKx9vMkjUjRDT9qCOmCLA0GTsMA+JyqbX0zUtd8jHAKe5x92v4scP8
Nu1zE4lomuzqPm2OAwXJdgDsdTCtas0RovLS2OTsgZiOF0lREYaXT6wOe6Fp8DUxk091NW5Npyvf
eqkSst5RPw8QU4Y5tg9qNAmxlleLpepDaRUZKl7P2FVCvjV6fTsMLqUDaz26RSiXra5tZlN7FmDb
N3HM/D4h0Gpj57q9zfTq7NTtraMTM9w1BDYUA8uFTK0zgzsXMssJaV+0K1v2qLi4jY2dlJgkIE53
Sx7tQiu/MgtNg3I5qX1uD94BWCM6T7O4xeN9gy4y3sEZILGCwFffzmdgF4MIAMbn+w4Ad9AvMLqt
qGLfEA+QZuCqcgg75rXWI0zmbHceestIDkTXocmW4nsT2lAEZkhpCZLVDW4iyYMsI00UndGtQiHx
lhQzckuNy4881oM9jeWtrRHd6fVk4I1yYCLn1cNxKloP1lzEyiRZ3FPRz7d5Ir8QMPX4317qf9VL
0cn8ZS91870suzkfX8vk137qxw/+9Fpan8AeMnSn+F4ZLO4fhvHrnJ6jH97Lx7x9HTX/HMYbn/gj
G0PPzzbsf3oq7xN6Rrop4QoT39R/FjNnfFADf5k4Oyu5xhG6YbEYgAf5a0+V030vRa2zWXfKbA4G
UTH5lLkyz0Y4Vd7q9BEmLRPkp53q7cbbGF3bHjnRmGEuDWZoP851koObrs9lEKM+0DZwHQaGY281
T9FrZYM3oDHSAyvh2btZCghzgM27Ds3ubAWLnSN+0MyOCSgbU/T/POOpohAeL/v1iUjBN7fAW4Et
sKPQuTuW5TE0NLwTFq7KbftBaKDvbchDWrkN+gfDQXzgHD7IDtkH5aH6ID5w3GQBipAwGOLykBBc
/h1KTPSmFmAREz/zLOcqHej6gEnEH1wJ8cGYQGMKD35Y0RPVCqFAo5hfjCuYIqni/mpUwCrEiq0I
dY6WTbXCLBg/s/J1onTkuQbsYlqxFxouQEAshUetVIewD1ZAhtvyMcMdQ5EOb0E/kS43bMsVqmGs
eA3D45O3VuSGWrzipl8xHP0K5NBXNEe6QjriD14HdV15on+u/XTFeWQqdnYGK4/eX4PSSCGL9O3s
2BSOLYDClHQ4/TPD/f5ygBXSyai/FxC53D1rEFgiBga8Gnk9iJGyHcynKc+MHeAwd4+dCYD1uITh
FbJLkISmTgNYwVyQcuzu4NG76da2Q3kyNaW/d5pdbq1C3DnjTeHlZdApgqisSL+xBkBciDMMc1V5
Di9rN/CIsWq6HrtU+l4BU7Fze18Su8D8qi/2ZjnlJzSq4SXb2/KWCAXrCqrX54TWI0CXnQVQMuZd
2UTh/TzIZmtrsjgoggz0SvR+RkjEXTg0+vWgdU4QYjU8MuiDd8Rsk5B2KpRBr4JwqZgnemMVHlIv
lBCgi+wdHfWbCD1tV1m4MGHz5OKOi5wp1jQ1BIiIYoMRzdwKaKBBhsQV6Ym8rbjafBQiF5D64k3h
Nnagxd3zggl5s0yEW8fs3TZydnmXXSz9aADjKAaRgNmMtWdUqdGxzuPmTuZ1fTWj/j45OLOIS4gJ
dxTT6OdWix92bLhuuGzVZrJnY18z8AVZHcP61i3aczZLzPGY893NqpcbQsGsKtrbVjFH4tEN8ynZ
sTxR6zpCLJY9BKmKo9i9UzYR4LU/awQw3xtGJtW9RAIDSFXiqRFPwuJa2OoyTS7sVnducVyF8efJ
WgoSrUWam7vSq1ie5fgkef0xOQNgNVjy1YA/cjLJR79FmgALU1SafAYSWKZHtaIVNjmTAX4bDHtW
uW+xUoz3Y5JYCoDUxzIg+tgMZKY+pi9Z1rdLGRBpV4LtjmVHVVaTqhuMHeuhgMssil4KkURr/LlI
+H60quDyRE8GwRlIC/YbkUyruEPNDikj6FrcbVOYfRYd5t61XoaqVP2bk3kis1/4jLxh3ORDX52Y
0Zv0u2WY9dC/SW3KjoRHSkZRwLT78KHMCM7z9Yb9qm/0LS087sTpx+byv2rUv1OjOoBE/mrqeRdX
377/n2OXv5bfGHR+PP2P3/7f/yVHcP3Bn09q8Umsc00eAh7cgQ8o80+Sm/hE/omFeMfhofzHICPj
Ez8BdGQ1W7BN/8Ps0+Kvw0r3sX/nj/+DhTkel1/nnpbLP6ZuoUpDk4q89TcdakNAcFt4hD5qFNWb
dI4rBhJU8djgPBxEhnxWxTheEU+ECWqon/NIrqMyVkDVkHMqL3EW1Iy3qF+LEvmU/iRDPaLnzJuU
k0y5wcIw9NhihfKtWXN2CKsV3nbnXIPZ2RiTuEkn1b56ZnFlK6pmTeHIZXff46FgQ83alSxAF3xV
8j7oQ3JGDsVa0KnRrJZVs9E1l7B40pVZxC4Xlaff2KJDTdaqV7CS0wac2hZh0YqlT967POX5bEbz
FrPZ2TGnvULXjTW9fPey8gr+2l04SSLHkmGHhfdqmJcbK50vEP8wU0w1bKDJK1VEBSx+eZN0Afko
3kAoPjdzt6Ndyf22iM3PUL8OSetiZdAxtFTdmvqkuWfRm8/ZmL862Ht2eqTu9Da7Wj+Bnqcgg4b8
Pa1XAzba052ZEzRvFihHh1V5NKrxITLV3Tqk9l1Uhcc2996oALy9iK0D1teLDJToccmxcWiq44PR
dVY2yclYDa9TNj3YjBdUbT3HZnZit/XaNilgJnl2YpMZg211W4tfSFnJe9XPNxaE+91s9rvGq9n1
WCs8jUX+xJJqUxpMjYyKD8qI23CDFKjfUAbE2yTzen/QxgoPBedxpK2fZVy80rcqmDNY/npORH99
rdri/6A1y43q9JveUPshXi6EiwJTG/WL2iE6lJ3quwl4ZitFcpVl0wVVozy4FSrcNOE3rKz5iQwq
esTezpGcmVqQdbzQmLBejiGFXbYyPTF0fGqtJuTUnh4KXQbTXCq/jFvorlXyWuJJ2ubGRJTQcjEa
UcIB3ibnrHGek0n/SuTCtQcJGBIOGmSChBeJabqZxoelkQfYFMh1W/MQIZAip8pFd9oDUUXNcIHv
Pt4qwn+IURLmCZyGRzB9z/DXKExs+vpTGYk3j3EfBAkiTfsoPzFVeWja4cGa8vdCTznWbSJOh2J6
MEMRwxHua2YNVM6LrbHyEgmzmfVzF6XNzNZ6rpoy3eHgArZnOfSX/By/J8N6lHrKtJ8Tp53p+7gc
eUSca0ZaXwi58nyw0XPACGG8NeFTBPkUhcx2GLDNLPEPjTOPp6aS47Ej3+o4jRp41XjOtyi5CkIo
63mnx/l4KuKm8w0tN9960X2Zx9a+FC5uKK6aKkF13TJrTgMPNl7gZIt6DZ0K7CyTeqQSqdWUT1kZ
PhUTM/ZgsTov2YDE8Kc4PJP5+YUZ5+hnU45el8fdYiZB3c/tlhlVLILWthk1JUAETm7VA0d0mnOu
xTdlRf6H0qynSmP6gz2YwckgX6dybt/K0iDoU0vjbW4jr3dgKtaLZ+8K2ueAeU54g2gYHm7J5b+k
xlslqhpzTIHWfdR9ezLEznRopXkXVELEu20aVhjBhCrp2tKdYT8ZXHRz5jw7mk0SaKOO4di+a6q9
sOzs9IeHzp8oi/6V3+4Z9IC0bB+7sN+deUlqW0OqMobaI8keeBZ7OAPTOZHN1RIK+2+0RGzdflUS
QePxeKCZQKws4f5Oi6cIHEp7BksVcasHUIpPRk5qi82I6m9e6XfFlLsmEuDS4MV0A53YbxYl5TiT
mUKvOxh99ooIgHwrjuNUKPTvrNcZuuG33P31Z/mrMwPQ/vqaEE1tJGRQwZzfXI6RWXqxS8gIdZmM
US2OD9XEja2Z1kFpMvfX3xcyy0Xbcbr99Uv/i8Py47U9G+cJjbjAMscn/webGtYjtSC8KQ9d0ZpB
yvj2ZkaJtB4XFwTyZAfdm95UN6GwUeN4SseO+9ZDPU0g2FtMzkJULhdDhK0PrcDBgxTkk9i2NVx1
ocDn4cWgeWOhsGmq9Kq0W8AP491URE+6jDEzTdZ5cHPNJ27b25P+Xr9EzPh8y+V4+Ovf9E8uIaJ/
ceAI9EjSMH77Yo088YrKsPCqGN3OqvQb3VtuwKY2f/OJrtLC369VXohQA0i1FpfSb5+op4Q78R+5
Vj0wTLRSNzMDv63OcIJi2ksD/KFXfSSK23ycb5xeL27RAScoxqL3ZuRcXksVCIcZvJnpItKQWHlq
eNA8+2y2454k9n4j66QAWRvbePiM6TmSxrwvIqPGzDcnF4PedndlNj1NLY/9wUisExacAsVwDxCm
TN7DBFdFmeV8i5Nb7SctfQ+r5cmNht3S02lMZD7hxjuAoEj8qFg+cE0X6Mlz3xiWG2dG4oRuQuyA
e39pJQ4IR1Bj/fUX9icnDDv4NYRChzoMp+vXK3NhbNhY8GEOiwLDQTkxcbKxEwWYq8zDX78WhfK/
fGdS5zlFsJDjyd/Nmq0xJ9jl5xJj/3gHMv9UwG79m5f4k5MFeIlhoSsApWv8PpuC+J/1ua6D1vPG
GibuBCg1XN7Wkx7h9bzvETVlhnXwNOOsQi/egqc8sQj93KXpV5d1OvKcsUWpnZoHguR4yHqcTvVc
XDHweV9sZW6dMMkOuWkvZBWaQDXgP13mib3FdvXoMmBh2O9GR2vGzJPDfNkIYZLI4DX1zmhJ8SK/
2NgPEzMr3UjeJVs9JKLZ1ThlxGRE84qRpUAVtLCS+IySXtwf9f6uKo14i1nsB5ry37pFrT+5Y/ku
MF0SX6NbljR+vQBKo4ZpPxflQeQ0CmNcJH5C6ObGAHdwJVBvkc4gU3xL7plwLAC1XatvGFpc9ynX
cpjBx7DLYafCRW163LiMyPRnldZm4Or01Nlon0N4M/4QynPMZJBVICdRjcc8QIv4pBvqben0TeIk
9xjLqaoafuFWm/ZZrD/NFGKbOozrvZkTGF2ru0jaq7yR69OqOfg6eyREQ7PSoAhzb2/I5cmr2/GH
qvzffkh/cpPwzFj/YX5K9/bbZ6SiBsOeGsuDgk9AiYMrXvF2LCiyYR39zTdC+su/3icuT2GONRhu
7r/ck41lzoyBhvLQwg7eChvvnRump5AnlSf4fgAwsv2daZCI3+w3pJw9M6GAhkABOFShjVCQ3BME
Xs3WY95Hsg3r3nJ2v3aZuGQxcJ17OJRij2p/KiszMOvurUiXuyln6OqsD2Mus8jMXkO1VqmwhtNF
v2oGch+myvApV7fQYd1dz1f60V4u1mQGaDsM3yMzmqU2P1GrcVeHQ7/Jlz4+TvC4PpqgsJywKMDy
PpWDekh6GkmXyS85A7R6clEPbR/B0lgz7swRBZq4Ae10Mk2qNeEMAeb/GXECrqaCPwnH9YKsB6JP
rbbbrrdRN8lz5agHO1obCJlp3E+15ucN1RKA4KuJ5WjACqjbtsyNmlRyi/Vhc+nJ6a3t+0DBm8BD
nFwlBOn53kQpbuXWcxqPkL8sRNSVPIAEPJG5cVqKpgHYyw3c9/mJpnhfhDxZkmjkwuTusFV/hUbu
S0xW6CkTkhXyGJhGO/trY4Q+gjB1siIuCCg+g/p9Ntrk757H9p/c3tQ6QOV1idjK1H97TuIDShv4
PcWhc+Y3LG13SEzP1Bd8eJLbeq2/PlrtqgcO3XtUeh/3fBn3u1l1akME8lvJQIvY8zLderg83bE1
nSDvI0BUhltuvWmYD7noNBq0DEdZhLCVkIboDQagdwWzJQ6WiOciyyiM5uwZ/MVhU6BxxqT9/DSa
lFt6axKTpieDP0VE5OYulXVEY0hWa2xiUENWrQjBGR56EHMbTKB3LfZW7Gn51TgMd5YEo1bl9rRF
OGkGjVouiljBCIQVXAhtwdc0v9ndUu9a6CQO3QE2V/s88hChyRweTMKL12q+d34+X/87YfubCRvc
AUEt8e91hfcf+aB/Rh79x4/+nLG5nyR/FXM3Wxc/pII/waPmJxMz+B9FhD+1hfITNm8M2CBBbQtN
HFf9T30h4zeedZJbAp2hYZKj8B/M2UhY+O2sxgCjS92ipOd9iB9zuD9U9gOI/bJNk4oMMQeRtEe4
FFOIMvH2MbzcnV1ykCMKTt1bLzEhTRhJmZyZjlfBSCa3G2DpBg0XJuZnVEfzDWj38n7s7PCLZwnY
kovJytuBW3ao25W8sOaVXiRre0Z+QjX5aiJgNEDaSGZKjBLSvKTOhxbPVJzbyJImmcBN3mwbL0F1
284zVR6D5Xhi5p2W712BegYu52ztMq2zrmOEzTdZHFq+VjEP2OqNZp7acEZmj46zTAPNjI34OE4d
5rtqtq8McpRqjjM4jUNhmmyaXPPIqamX2ylvxhe94E0FTRH233kVgTfDKnGMhEPJMM+tG+jiDlvy
H1hJxPh2i9SvrzLikRVzGJ3CdWsuevGe8IUfZAjuju0IHEOxJOG3xZacwBm0q8/1AvTID3lnny0E
TZ9LpWd3XqZj/5yS+FoNYflQYza57ol/mC+mZook4g2mLBvCHN11uZaLkKjxhgXDEtfu7ZTxvhoe
HpxTIiREVDcTnIlWOjm3S7LUX0TkujdhTiWz4SzXRRACBygDmHTVznELcinQrhF+Wl9novFuJMGA
6DYtTx46Pr/diNT+kv0GKoQ4XqlNSBqmeCxgUsiyugeZ5t5q9BF0KTFPotmVxNHxTOIZA6UQJ9ER
MpZ50nKQjxh0quusbSBkLOxmtraTihMiG+UDMRosns2G7A6LVvT8zsLcmWXSfFU8v15aJNef2eVa
pu8x+rJXlXX3TWiFu4UcTFQBiw3vdqpZdMw8le95RkW3E6DciIMf5aAvCV1igNdByyAaCi4XFpxX
F/6an3XCu6xr04l2w6wTXDWlZXIInaZfjqRA0Ewl4aBdGjCmlK/wksAhBAAF8osFaX+MJVujTaTq
4Q6ziUR4ZE5A6VxNmBvBZOixZBN8Ff/AL5kfLCb3B5jJ/qA0RURCYdvX/gFw+qA5zR9kp2aFPGkf
vCeymWA/ZR8cKKgqKxQKtoS7i9oPWFTIJKs/9R8UqfyDKGXUHSwpBMwSBesKnXLCSLtH7caILAuv
nKJA4TICqYqhVYUrtiqnovDe0h84K+MH3CoqdKcMnBV6JU08NckCF0tfkVjhCsfSV0xWb+r5sVki
9ZQg1go0L66usEw1245nWLqitiAEUAdjqBEutp9YPbE7jbCfroiucoV1VS0WS9bPZlFjygLnlaxg
L3tFfFGjddC+St7DYdYTKGDjYAzB3E/Thebq6bEamKnOXnlXLe5lj7YPd5vo0IxV00kl6bB1SPJm
tBxjn60YuGuWRuAqJw1mY78Jl/3k4mueE0NsmKw7Z8Sj97BqCZyL1Or5kU+iXZNChmGglh2qa+Xq
d8I0DVYCtMJ4sgjAsIAAjDnKOBc01Q66j89+t7zQy7r7ns7OWV+M8IUAJIW1tcnvS5viNh2rDrUu
CexW3o03YgjNXbOip1SC/d6yl3PSuPM+t9hvx3GX72aBqpUsjM4XzAN8wuiqGv7b8lKFSB3hEF4v
dXvVq4zEYgRMPlln7b4Jy3aX2pp+hQ5NXdsdmt0E+wWWhmZfJsLdJuEc7oCesC8PZedXgqTHpaKY
ycdRO6Wgmi/mHODh4ERfVldJEAk6n8yB8md4Q0VhUrWfyYtTB72I+kfmPT0XhtL2UTu9D62d72dQ
gtu+BRA2CiP8YmZSKzb45q0j9pwiBYRn6MfBplsAlGHJixKa8s7zkC5varTS+3rIrJMbMm+YNM25
HerYw53MoyktugR5l4U4arQX5zx3DVnEUIGSdOs2yRry24RPXiO5ZWURgp0YYrIF3eZrWWUVvQlp
xM81kDx8JTTTYWK4uwLY6b5axvqlVqH+GeGatu1H0NuVKpczyu8KX7dqD4VZuLcm/+Gqsyftmlb6
yQEApPvCg04Zddh0WIaKaYPwLhMnOaXRpZcVrseMTDbgOJPB8TODqnHT2CiZLYWWUZL/5o+GMM8m
ckzkJPHUbrQaSpmD+wo8hZOdEPbhzqoR6zXo/J/6Wu8QZHfEQycD6lTdbFfcQHXLsF8/m2lWBm7P
Jz3kXAYW4TaT0fnTurQxADFsxs7Sji064O8mW7TvQ9Eyh4OkCj62D+EntJYN/JgxCbnZcyMDWybi
sSLu/i5GOPxtAu2/rb3GvWxC44vmDe9JUkbPqILIT5tL3e8s+VhaUgPZ2JHYYWYjol9AdcvchI9R
a+0ZsH4J7eHNNRq5XyqCxJcQk4GZzM8zGeVBn0MqcJz2tSkIqRtN/UimD65PYdTfo9AZ4TNrVQAz
Jz2MBis53wCrwYIiFDc5mL1t1qnsthT2uYxwmzHiG7ZFb6AvNCK0g76KW1VvO1Es5xWAA/Om+zak
8QNrCEop6gumMSSamCPgQTDDAdtF1KTeeriSk7MWM43r93R1m4mn3DYuw+TVyLIHzbDZn5Eb9yU2
HCBOiet8b0V7N4zinexIkCEJ7EXNeSnBvCJqBHQ8Zbpz8uZwuaz1AYOASQRjRC/ALv6kyizk7Kzr
LfEGWeBGo3lIp7k4mmN9JK9lBU+Ix0TN2WXONY/MEP+9aDtGDWmPk1RP9+2Y16eqn+6tJe52YolL
Nptrfma6fOupP/3eHKp7xvajnyAiBBlTmDPzlHJEokziy1x2xW4ayHtsNfctjIxnYKnhi95I8xqP
NeA/V6Kd7bmu5FthFOIIBZtFW5zUF3XJTm5ojO9OoYgOEt+YejYx3ou89kXZqYNbk3HTWbW1TRpC
a0bXjvdULM6d0OYowOWV7nSqx2ujdMKbNqxOLV96lbeQhfVzPHeWD2KPS5QNXjDHE2wLkYqzWaeP
U1bbbFXjYY/tXxJdbZTV3RAPpFvRCjojSFLMDXB1JjTKTWcHZAE99ZCU12KzEeU17rjIt5RHl1e9
yyQCMlDg+tD061B110uO+CPuSZwBaZHWxRf2olAOuulBdcNNLXok6uUV1Rr0Enth0taHkz/PQ0YN
CGGHaFek8W4eY1U1E8mqyrHkJXZf99IumhKcX7sxZiyQRPMUy43Rltl/M19+yCD+rvGjfWMI8e8b
v4fv02v3R02F+eMn/tHveeYnqa+pEMKzfwa3/NNNZn+yyZFwqFVItEQZ+U/1I0kTFhIMwwG5x/KK
ndI/Oz5DfoLFx/6HhIp/cMH+g45PADD4teVjJictxB4YicTaexrroukPLR/3izaSRqsfVWO0n0fN
cjZdPr+5k5GfF1h221gTHFsMt+8c5V4BX8QYPKbNfV3B69Lb7jTM7H7WJG10cIN2nEPTDvdjlcY3
Q9lor4ND4KxnV3pzsNyQDTTcgai7KR05m7eWlWRGgQ0kF85xEa1rnFmJ69VjBxqYXFItWypzD28K
2RceG8jPvk5swARTxRv7wtqEIclz8FcjnUO+hmXePOYu7GqGmuDOxQmSjm2wzQ69fuvEutXt4twy
aiJUoyTnPCwzNKibCd4syHbGhuLkVDO2kTnqGh797FPRh1vhhB7QcGZ5RKonSXnNGP6nD+GsaSig
hJONTRBDr3xNy9D9FtlpRFyHQWNEoBRJNCNqCNCxOqFPbVrTVED122dMHy9c3VxWvJJHVnAqeKKp
ntt4N+JZH7dLxZYtcKv0UERsuaYy6UnyLs2ezNbJhRTkypd5lNYGNGt8SLrkPsLMzZc1pFcNB9gh
NdRTWmHtSrHxbUThAUT7/+ydyZqkSJpl36X35CfMsOiNKjqrzZObbfjMB2MGQZgEnr4PnpXVGZFV
UV29rl1kRLrrBMI/3HvulOCOb6skfct0Rus5j9nJD/RN46hLisPqrUuqGvZRd29XGsNePYZ0x4n3
o9fxtFHD9A60mPYAZ3Wh7VOii1c9wmabAf+cg8D5nsDe2dlxMTwtwUB2EH3agf4I0HrdbDh/p0Pn
I8kMrPqA0/FxXLJX9K9fRLr0l6VrGIAXye2Stv62Gvr3purO1djUx6LHAA6+NdJLZW06hG0XKQUR
cKgz0oSUucIqXtcAkWjg1N8V1fgLtbtHZNwS308hVjZMD8YmHNY5O+iygtP14IwOxTJZqhYq2Wgc
8bkluFg4yHEAx0OpboJ+snY+K+YTRsWMFOjF3QxGkm6Xrg2+44sZD9XoZt+DtMWzxEhiJ1vXeEzk
7OAJTH7hzG/uXKN/4tmtn+pqLg9CIqusM5kd62JNR8mEt8EdD8iydon7I5vpxLmQ7pWywn1SuTy1
UiM8jN70q3HBN9PIIs7k7Ngwas7II9bZ9wZvwnZ062oH4jJhsFJ1hIDZZPjW5FyDkoSIJsZyh8CU
zA5LP5tuLTaqLF6NMj6BEyPbpWMG7fbGmzsjybULnZ/TFnWTgQjmy8bo80EALc9ORvTF5BQbrEng
1eiFiytQsOHieT13PGSgNrIhoKHP8Vj5jiTquCC9AoHXPx95ts2IJwihFcMjE5TJfyqdQt5DOqxq
tAmIWiTqgT0Fb7CLfdAVROgO+XPnVT1uIHNJDlneWIzbE1XhOel5NS4sXGpM938MZWtvRTyO98gM
zO04clkk4VgCRdB6/tlKDtVd4jvzeegzKN39NE9YiLi0yNyePaG3Le92hXlM/ZdJ0EdGxx4z99LD
kH7NeUcMSTCFLc2YaOV0y7qje+9crhZrkzpkxJljJS5pHVZItgKJ0cewDsJCf9EWTHzn3DsQTsEp
oVkuNIKewaU32JDmSwSKbO0dRrLyQL1E/EOwfNNAbl79TOrbMjeIiC7erCUTm7osGlh/dPJG69zm
wioiMu9yggGzn3EXqCizZPZaqRwvE8CU7IYZ/YjeHLBDxKqLHUQVv+BJK/BUhDZDDadszmaIjdi3
x+vIDO0RJZ7xVDid/2lVbhYlBZH1SxUSfDokKbcx9kFrFxP2sKfpEzdePDeABHu6vr7vb8subZCw
ZMBPDDEf1HrXss73wLeD/I9bsiiMtoSjV45guRiwZ3N3nEyRkv+7mjzaYAHCHXv1A6b593pgSeGM
VfhDWd2Drx3MIl0BE8UO+m/ebysJgQ87yx5PTmkGeHnpuze9KXsW1I6zy43euKCCTvfBal6pxQKz
stGQEpJg9cCYnAfBfJvhK7pbDDHezFlI/Ok8kFVW42LRXc6t5VvDDisLqMDQ0RsxWcE2zPNhI011
mI2EHavd34QDpxZ72RmhGa2QgNJ+6gvHhf9HgmliTo9DAP2tCBgJNqvzh88WotPSB2NuyXkQY0xn
rQVTxLD6Ma8uIgF4YzusziIJRYtedrUbIQjpnnFsg1sM2CC1ADSjrm9PKPZxWBvyS7f+S5X5zW5B
BrAXnQRuN4cLmBekRmmtIYih1zobRftzTRGk3Bywm5bwW6a167T8+o6ltMBbyA9biznfT6uDamEM
fTRWV1UrYd7g1iYnNEGwbwR85qEAvGVVBedd630sqzurXn1aadF/WE1RXFwZo+qeibyObbgQBMSa
V66B7tCtNq+pKL5AO4R7LZePRK7hmb8NYfnsxjdxAwQZ3A5HP3Eq38F2TmAOe3UfF1a8TVdP2eQE
Iw93nBSeSOBKuF90nL+cPiv3pUvBMGrnrVIDrJyia1/LgL9qUbinJa33lxoctnwdwkuHQ3TjrwY3
IrHyh9Bq5En8tr4VCB4nHHFDFYuIwxRKJRyxtwCO+Nbp7acsI0JzTBg+5RpV5eBl5XfANxZwHox3
AyzTfT768xZbVL1no1Zd2c0C4JwXZzva8/cujWd2oJ6/mULew0SKBEzJNnjthLXcFzb4Rp6mITKM
1B80mZWF5O2PfZG/c9sXPUOdOnhufZc/a4v5CaTRySO1a8vmKnkYIKLdu32cv4NXfHI9b9piP711
rKY72kOQwG5Lc4mSKOaLZrbrvDClJDzPpbeY+2DnLLFn4XHxE37pkeyXZbVVZsShmNuksRi+6ZoR
G7/zxpJmczeaS38UiPuPvnaDj6noxDvElB+5jPu7RdhGvhvHdDzmsrfv3MobGYLnul7Rpf2InWxG
NDiGzLNdlytCVI+EtbiPCKk6seXUNCgxLGltXciZX52yA2e9URN+U/RZa4aB8g5Smi63TM0I/kiT
uwxbbKxeNCf2E8LPYYuO5howHfzWAdv9XiftuZzIBkDRBNCwTeyfUOdcxnCZ9QMHMl7+Bd5zsQEF
r09yWu2+WZFilNHurH+I1Rgsf1uEV7NwzOF5g3ehPJBncQ9O4RLTIvrRyONAH9ni5VzO3uj/jBO/
2qZW59+FvZu9wYF1bswhcyM89OXOzVglykYuDHNaZspNbzePynZURnsoultdWKS7iLjB2d7LAe+e
CmB+sjjAbL3arklmyffxaseGa2btJO8L1YhnHHJAKdUBKUD2xmlWvPGIG76VkxZPRd7HR5H72Um4
ExVv3Hrnth7J1sgQFkHKQwH9mljASC+jMYMsWlLSX6D+YgcR4FRkVoZncrfHbVpps9hop5YRxAPi
YgUO9n7R/ZsIluGny1b9GHQNtpA87++cJFUvje2qgvuvyfvIxiZSVC4uCKorpBCqr5qc9qGb8LJz
wm7pk4YwWkJpI6Ao5Tzuspz74RIGTlXtMHR4L1McLN63hPgmbBCB5skaDE7IjaiABcD4Z/LvFI53
69lF+j76E94t8kWeyqUm+gyugnFT1jp7jyu33hOsUTlRteiSiX8tIgBRSbBxiGoLgLhAPBCxjh8I
moRNWHG8Ill/AjMGPJIomu/1yk4wUh/ta78kF/WbrvAbtNBXY/XMoho1jfCtw7QSGfKVzTBXfRoR
31dupbGUrGCUdPfTynRgGaZU5C4scnIW1WTwmWQc1wuRwlZeHwdfJ/eWtOP5MfBz1dzphDC0KEy0
aL1iG0ADoVioGJGSg4QQ2GIR8JNyM1szOAu/nZwnUkV+53MOcxP4qsMClFYh0XFrmmepHWMLZ9Hc
wdqoVWR3Keco+kNN6eTZxz713DfCvNCoEiZKqBZOK2l+x1oQR8LI4+SajWPWsoMRKkf3l0yRZw0j
oj9Sczh9etVcAYDI44Ad51G3ZP5UQKcOi+ul0djPYHYnJU+KazIaeju7ypyY6tga/K9KNc4PUa8D
c5Uxrj7oSj53RRhn79gYhm0Faoopo7dK5paFSWUXBL8IT0qO3lBRgptsfLZtpvxXfDdil3mczjts
b8W+s7rlU1BYX6ZZovenP258KQ4Nf+15sdr+QcpMfku1Uz1Ok+meF5lNW6tyZOSmJqYaM63sXVKg
XsEFRXXQrrinAsKcUnlz6zhtFdm8x5eOKnLH5oIg9trMdwnPOopzkAfaUv1uKP0Ts94xamjcH/sk
C/eqENan62jnSHCT3MSszvAN4fn18eUdssQeI9WQ9mhnlcfP26XT9zKEFgKW4M7WafhT1HiweSfY
D4TFWsCaj61ZwhAehuSK3jnQGxM9Lcskr93LULu7lpUEuuRlpRbnGRLyuCITreQxHsMs/uio6Tdr
9tPRyGIbuzRPknrygBZDMuy2hjBm7M22vW9iB6V+6Bt3vb3Mj3JKjwOryhsN9J/lXW0rKnCj3JVz
mv6S0nNu4jjLOGjbhJgGgHFFx8E/SGK9y7TcLorgPYW6nYfOND+AUQ1vR52AeGLUeSy8zN2xpeLA
7Bo8S8K8DwLAUV3X6WY7rOAFn61w3QCmpbBrg9vCaBV8flJrzDJ2NjnOtndIJf7Gnjpw+1WWVu+G
7N7BZxQoroOD42pTkDU3/hSaB2uA3eM0E+XJ94f9CvtyP6BSwoA1443b4IuEabiUn25op7uRX4vA
KP2NWMFLmgTRvLSA3MpvXT6u1xuevN3QE3650ba9wzsLKDYL4zM2A/ezgJWyqRLhbamZTeKMap2X
OwVCYkgc3V6hHNRcLZ1/MEXhby3lZNcySYp75g9CRIMDkGc3wnW87XrqbVL6rKhdxz866OQpbNty
B29sObL7F7+mmhYtJ53+SGIuUeNGa+Ga95kISPWjT3V/9itwYwK04ZltSpSmszyx9Gp5ABvosP1q
fFiKNCEjrf1Ov0YpNteohZwlr071IMdimyAafmO5AJRwnG5s1AKvlFLPmdG2Wx/Q8SX1kCa0eqFw
bFJwjss6Zh8MFdXj8BGaLT6Z2d6kufVaGxx5+eg4e+kR/je5dvCWaoyK5Jex4BbBiEI1dp+XpnDZ
chfWpZ7Ta2bU7730Owjs6ZPyzC+bk3Q/zVRHdSJB8jXWu52aJbP12vnZwbKIRIIcWhrVq4Y++iVl
ZSzweQMPOgmckK2h5cC2xqseg7kXJBImuRn1Mog/RjGw8dDjiNMgnKfHFhoIK7MgZpvDAGLaux0C
TIp/xuVOqUEPDHb4WHNgoSe03cbj48X+wLog7Q3uhGrniUKdGYNvpiUDzjgnccRPJf2bAo3Y3eg5
DAlM7H+gBwug8cSclaRfBQifdoNI5S0useDEP/Cfijr4shLr0ckbDg9iuM7gP4vz7PJwheb4Iy7k
0B4KoyAWxFs3Ej6JE26pz0vmE4MmzFfFI2lbmsCABmudBcqakXYIcd03PRY9LnF0cQZXA72jQz6a
xZHgaTVOx7wBfDy2H0Cqz+ijxZaAFjY7iXETh+xelxJrK2iNszSBYJHV4+/8wivP0mX8B++g29aU
+vAjkM3GTntVyfhAaOtPUWVc8fHssvSvH1oHhgGDGf9UO4BhfKNPD/QuDBCXyribLOctM53u0scG
sGrlIW4u7fqQCpnssqYyj5oUm0i5Q3ci0lowuegb4kbIx0KQ+zCQ7X7MYyAQaTN/FAk7Z6uf7b1f
KJxqvf09dkfzaQrcAl07e3eE8M30y+388YmzD2CD5wJcFO1wVi3DKGHmWzM2SCtVgcGcJctwiYui
OIZefeP0ZbeNF9vBGZJNITttBOOsG0RanIFLsnJcGuLYZvnZmU3zvirRocNjJf8ByYJ9gzkXxmfj
VerOF6VxzHngKThGviYbK1dXv6BFwt6RpxFcSFYrTrKzq3n+Tp3FrZUAxScqILhrJju+Wfp0+GFk
3hfSg5m8wtTozi1j6IdFOzExcP5Ub2UmppdAu8O9ZaXOcrvqyskR9qvmwBS0AlzT23JF5nj71ZPv
s+rPdCTRHKktEgMJYAj5nCNi49ZE1YvBnIfBMYvH5zlxX6gQ3Kc2Thqoq3N/5D5ASKI6tnRh8DoF
EJ8Bp1pPCaGfW9JA7wKziz8rjROK2LYAs7KFTKGkSTcuk0VRcy1Z02/afkwv1BC93kNEb7DbZd5A
SiLnz8brhcwPSYygliFRSWgbszBqmgprc01zQ3k3NRJat9eoVyWd9tK2QQB+p/FDmIggBA4zia3b
mXPh3WtwAd+yixLPI3+BFwXtsLwNyME33MYxQyMG1OQ61sRw2IMET8/VQy6mnACrtHUG3kRKQkAZ
8Gx6NSRUTHieN6bV40lW/VoJccq8Eybmf2CdDri1h7w/yoBcVnDgLUVr4EAiSYxyxFph6yd3kD3D
J8GmbEMbFvBLGOFr+Vt4kUI7iuokTnTETG1+nAsE4GSZVdluIe2PwM+OxltbPKIpQSsZjbb8wuld
71gRPMwGZf2CofoskUtFrhxgjWdx+6CT0XrLcyrwCFUdznLlmvdduwbGIccKHjtX8TzlLGvuSxBj
b4aTDWc7bZnLrEnVN2o2+rdCGuKWpIv5YEl00TSvnf3QYed5DI2Y9kVhZ78YRmp9J1yqOPddMOLx
XiW62hq4S5uaY3VTuQHolKBLEaq4Xc5NOeENjIaJqeDGVqiPb5nw9zxPQmWXmH+s2YVPMLn80lW+
i3uV5EQpd/dL0kHv9GZp7bB/62ex+Mk5dzgq6zKdv0pZme+x2VGoLR55pUw6FEpzBG+bJM/at8Fz
m/1k8NRNGoeHGZdURLOT7UTS5QdpoDvZMBq9qFj7p3ES/Y4El+IqTVgeVPamuDYIrl+A4/bwPzXR
TSicnK2niD2xoWs9yKKVtwj9g2MFAHDXjYs84H50trYsuEoMhQw4wJfyjektCZpQUp8F9d1VNe20
H3qqf8aZPlMagzTcFOwD+cjQ8dllbBPZVTdDH/4wRpPoPrMCGZa6fWRgPb/B4OBu7RxbQNbaJ2JT
g3tcpPo0ze549gwfQT5AN0BzdB0DFeOWebM6d/CBb6D+FNfAC7/XgTZ3Y4zZKg/mz2Su0q3lkOAW
BzljRTOumJWp+RXYXbz3lZnupLXYO4ML/ZCOhLyMarZOpCQzs2mKerYYtC0RQi0zwh/kb3oXebkh
FvWeYfwgFy5djrPSeCR8kzVu4DfMgU3Cn6PatcbyUbuQB+aUh03urkISsrmKq+G30eSyvmHGalJp
NOneRJ6zCZvl1i0W/r2IHzpbz3cTuXMbayxew876Zicc1vjpdxly9ohJyWdYKwh1CQuPCUpB1Bml
iGoMMHvLLDCBORVwifxxCWDANo4LRwJrB1Tl5Q64mA11oH2TXZvfQ9k4xoZ1pLDqDyOg5Q9Dswax
YA7ZAsKJWKiQNbL1g4T9ukHK8VmFefswDe0Darty3ogm4NFuro1gWhp3ATBUCCAIK9taWFe8fj8d
wx9uGqtWpG9oBwvkgrCcTO9v/cSuPan0dZRSYxZu/4eD+v+2tiatjUXvf762fv2lQJH0f1hc//3P
/EOobP7N8W34OvzIf4fz/DsG1bchpDq+AL1i/l3F/O+La8f9G5JdhPIWAXrUDysp4N+kyo71Nx8/
JqMXcKi46Rz/vyNV/pP5ygpdyEGhzzvkRdYd+R+31jA0hoVYS4zWAf10labBBlW9vfmn7+Q/MKz+
i/3KM7HlkTXNNcty/M92g3gAV203SXwc8hqy9ChCGlgdNx81aJv7ygNEXcJsJxNwgc//16+9/l5/
9Jfx4uAOcTLxtfl82X/8iKlXltouiIBKnLApOK+6ibkeMurKRQzMA6b5TMJKhkyX2K90y5z90gY5
slQ5nh2VSD4384BCpaes39qt0Z6HokmRoOVrjVMSG4IpGFETR8LN0PnxY+WVU/T/8SF8RAXmatng
QvqTYUMoRwJTXVhyLCCdtQM4vTJIP6cAnF9aqCXb2Cx8zuAK47Qp9BoeDmXAbRKCfvssXAXSlr5v
mNLQCJI/CEB/gVlaQGXG3sFKZzKfq2zA31EveKqNChXcX3+Gf/Gc8Dsw2Aih7QZYKP5sAu2IMB1m
fwqPjGKnSIEbolNTM1q7/OuvX+lfjFnrK7HxR93hBi6SkD/+4nQC3brYCI+jnQiMvQTI917QnlVv
tw/CRS3916/3p5sIaMdqACOSiXXyupBar8B/kn5YZlfX4B15vSRTD5wo3WYZIL7/9av8B9+fIxCe
uDS9WBicP3kyQ8VxUU5GgP+LxEzUDF/SDrNj0QXPf/1CvwM6/0DyWj0QJimn3HhI0f58KOQJOpuJ
a/CIzZR0Xr+zCFLimplnfri5stcxTAp5CsZt8YhwIrjK0mPjgyD+MR3wJFeu2z6o2UNS6o2oqaS5
4jFHuKnHZM3nIPcHmTfX5suYQBXeouV3YAPkE7pkJ+FFtHQs0EcQ7zrL694mb8mOf/0h7d8e1j98
SgQpmCxd3/KpaUIXbdA//2orHx4KhdLHCWgiI5+GzXICDpNRVbFvio6m0W6+dKmMyC0gbHLx5sey
WsOK2InuGdEQkVRk7LZh9kStV4O/sors1kXK9uFPVfXG+m6nzMl6MsEgEHJLDvNWUXw9W6II9yl8
/Yg2SL+kSW1R9WfzAT6zmY/JB8dZcfR6171LBgtrWdY0F54u6bGSMfVu4mVHiK/ztnGzapciSTp0
dhM8q9jNT7nB3KA22xT4RBL/SLHPbCuQYSdHItCQZEG3m3HxnSv4qBJoIHxJOVqUro4cth7CYLJI
TQDEBbjo175j4oBva0Njb9y5wI9/zvO8qvrTnhlsbx/c2KFyzz3QlQstTUSF6Ty4qS2e5dBVb0Tu
FV/STBuURiKc2UYpVJubqRE2HUGqv/mkfkR+ZSmCxMPylM+5vi5t6N15JZ68PsjqcGNX2XTHyA4l
cV66n6LtdoYO4cXFxS+DrcENuicDfmJG1oevzlXFApHsxBZkcLgSLOrbJpbxxtJQl6jqmQ4ZJHvR
ZV7X7xNlYy63Nn5qGAPQX83KfndTb9pAmxCnpKiqqxPL+cUoi566lPyKW3MwYLTOY2rtBM8XWt3J
PoDqCE7D4tifCljwfc73xNpaDBDt/I5cVWcP35srYkTtObS2/dlg89sXqWVENkP/arNWdi80ogNV
MyBJgt5RaeomOU7zsE9T+8GKq4FIdjme0OnOm9nQfbBRqfXTVvzmDNfkw6zKmyx2U7AwYwH8uhyY
0BSEBFT9sFWC1tDKEUkkDlPYUCdPaGtusAd8pPgijmnfi8fYXOZdrrw3prfIFuqaaU2Xb43cC197
Nw72tlLsm/UwAf8uwk0zLnpbCZvQtrw1Nv2IrMuna+GIGsg0r34TOJvVP5CEB8arNfyvIGbcm868
GR3DLCucLQ4p0uLJwx65uJCzRDyGCIxLAg9/6ZShRko866C6zri46OWvvUHYoWJj+JnTVRG70Plk
oMyYvzBQ5/JuYTfAMdWZ7WWeTefEsr48mnYmjn7D7eIZhCUWRBUytxt2FvhnlsEp7I8+jbda5PUP
NTrJt5yUuJ+e383f7FFN54oxw6kYQ2I6E+lcYYoSA9HjAECnPJ4GdGd3xszEfihnlqMbdn+decL1
5S9tZLZetatEghbfWPSLM4p6b6/VvSjgoiIdcZB8o6nCbpIdTK+trxmTb+YEzBlIwgQRXw/EvGWe
bn8PDiOvGeaD4WFSajtR7ON8nL/GXk3NrZjRrMfMoLfLOKNOalC2SAvXY5bw5DAX0mIsMcgdE2Fr
xydWZ9/rrd2EySSyUjFf0LJ3b0genDuLG/V2zhicRUXco08UiCl+kRQ04WgStG1kwvxI2ZLtycDw
X39njNSubz4bgvqC5Ul6VxQT1clIydc0cN4JGSTvBEZc28J0I3VJC694LDF1fMtzu4gKsUwRXjZ9
b7gSQ0Zh2qfJaQsmY+Hw2vQd9hcmBz8XIxUkyjmcPYoP2UrKL69sCF5B+HicZ1ve2ukSn/0OQ+08
2fjAPJvxYN7UcheqkU8O9f5uze6M3MG2dhiQrJ3jOsnd4kvm5ay++DNWWBKIwviQrDabd1IMoTiM
Y89HMrw1ghFAebJFO+Du7DB170wOBvZNOCVkby2sf71yG/pDfKZWcbcy9kKkXKU6jx7Xq2kzqaAG
Hl8zkt93dmO15xxSKNhz17HYMFTtAfq7e2GRZzzOvADZ0CzTEe2zW4zcOXU/SJJnBg02pH8UPmHk
JGEMj0rg6FF+an5D20hsHJ4b5r/Nocst+n/qRfviagH0mUPBBMd4C0uX2SPau1NVgJYby5xIDztO
d009PDMpBRrf9xl8rcndIcBEFF6HmAHSZDwoOc7pga/fL34oJ2jTq+qqduRqZqqOcgdOdV8pESkb
B8Q1ZAMsOVnnDklkYDnpLRouXS2n34/3/zHY/lc6axdr6z9VQtFn//lvoLrbz+rX//5fr5lKMJP+
ATRr//0P/aNjxSbrePwrBM2/ObOUs//XW4v6GltriFGWytqmsv6HuTb8Gw0p2mchbM+jekT//A9z
LenMtkcBRj0ZWJblef+djtU3/wXywsszLuev5F2g3l7L8X8qt4PRa5oG0iQ9KxooCGBNwJMtdLnt
5pbgTnun6/hjrgMXAmqQpC+cdXgKyDy6EPg+3NoNWcOcAPbe9WMz3ilgMvfpnMiL8uryuakJtiXY
Mzi1cf8c8xQOtvPQfgoGdyqL2IYnL6Qj1K9Wj0FcVhPPmRHH6083rpsLkpfw6sza/awFCRrMalkq
2pKqb7N2D6+91xi/Cu3rFx54lf4VEiPn5+esc6ZbBtg7BYOBGLD8IvJCBgdvxKEKYgBIHCPkAWJP
b5kmp3RjPBuOCwcDZ8m4kygoNj6FK/qJFb7lW7a+NZVG7VKkwUdZlAG5r3SwfC2E6RwhxiRkjphs
NQuP8begPd/FwUTAhdkK1OBd8d2plvrCAwOIZ7A4kauc4pvKQU+4ZuxQ5nEklujPXsnmmR+rxjWp
MLvVcY+39R4BpvAJYcJ1JijA3jm2eYQD5HlJRZdCvoYhTjbk2PqvssMZyTBfG5DOFCZbKJ2xaPdx
uJJ5qCZ7667FJd3uDczbz6oNnM9BohLd0GfLdydxcG9AR37WLEz4ljnsEnYBofkcFoxqNrNFa5tk
PQ/TUq4imN4u6UZU05u3Hc7CVb/UsZKwZc3CL6B7ZD6dohyDnt7WxX5CXHgxFSGd29//WAIiBc3L
DtTbQL/g/zenFX/GtcF/XWVN722FhENs3Z5la+4EDE7dwcMuOToruzRNFjNKtBu+Il8k5wrQRPhK
QQn7VQWrBzVUjvlsmS4foxpGaBB+M2Cc7EP7ZBNC8ynxUHcHp8fUtFG6Wy4hGhs+Z2XSJCRmQQCC
s/CBfqcFoB9y8ktfLGV6Rl3IG5iINEjYaYGzINM3lu+EXeAhT+IRKL47K5u0Ng2RJ2IO61m38VhO
8b7r4TyeejlmzD7RFP3EU0sGAN4/NLx4sTK+8VaVhxIBUruFcg7UYoMPkv/A9oO/Xnvrhw+YLRDz
ZBV8g2rS/JulZfjjeIwyNNX2yPqCCRCzVGPrGJIPEeOmvQ+ykRjY9RU9fyj0fjQ8HsWlybXZjvRc
23xK4tcJwUKwtR0X04AzWeNyoFB1PgV1eLB1Et1cPKHke2tRp20Qz6pjkuWu85DkQ7gr7JbUn8zO
YIBgkLPtbWsB/NskdsnHmqn8rik6qDfm5rPx+vtdBiVd/rGcHbTjtunyZkl65iozQHHfhorUY0ID
OgJsOvhAA/srApSfMIwyhGrK9Se10NvyneSrAK0nLZwAiA6/o2r43+GcAWJh5t/BXGpovosGgjKR
GAwz/KnkhPLzVh2dSpjzPmtl+YUKhysy94z1mjJXFVniGkF1aFAZkqZoVnrYprLQW+0X/RT1IeUJ
vsnpUUyBvh/zWb6DuBsQ1DQD1uEyrUm6C51QXvuAjkS65BS6ltGi87CgGw4VZuLtrABmecKPL3k4
h6/8mCiLVkr4I5DBftmUqpPvbMk6FgW5pZ9GruJDjjJrj9GPAIUxcand++5HbsBRYFXPbVGGpX4K
PHSCvqW4sC01KT4MX8DVY07Ap0Mba+MpcXH+9gTe2ZEb1iyo+cpQVmhafVTQof+jlTkjMbNuAnvn
kBbK4dBhkE+S3Dnhdef7nQEOvirf5wQZWvL/fKua7tAcOTvigiy6yR6UE2Q/1l0VI7iTrdd8nzJI
0y0MtgSno6wfy7FBBjUWRJ5tfNq5F1YQJLVTTv9y/Mo+x8BIj/kYmD9L1/9N+tL+nsil/NqyBv9l
E8fwDKxwPskK38HMSHHbZMYLBFL1Sm/fRXgQ2YWXYUAhayIftLRRXk2aWf6drvciwNtfJ2L5lc0J
DnubXKUL2GgfZ1/u458AIma/ExPD8p0QS4yQTJ1pVMGRVi6hTe40rRWk7in8snjxr27S3ipPVb8A
yKS4OwNaVgyXLdbUXge3DKEezcogkZ5RpQ2aIRg781qylWkf6H4BQQjMAKOn98jUxwj/j7yBIYiz
xBji+3pUnCazj3PDkMMj+zR2MhPAxj7scCUgd7evsmDj8RJLu3klWlM9lZNzn7pj+zhb5LxNSWfS
pZr+U+2zSSGGpQ/uWvyjMNhLupokFd8Sa9IXJw6el8Ty3oYOiHVDYI06uFPdhNwfkrRGtIvrjY9N
XIYVuiXrvuswJ3ro+dwd8iZxnZoFiVHc9uIBLX6DcswXuzJXJiQfW2mkSgSi74gERcUIqnr6iKWu
yi1KNhcLZYU4/EgsWElUo+mUO4rsZhto0T9b2KXeMwtpBY9CMruH3GHVSjt5Gj3iaFlH5h+ax/uF
kKnhtrfEx7oDv5FMp9k9T1p6pHHF/RWTYx6NDCWfZnBXl1nn5kNhev0XQZrqYw6Tpv3UvSjHB6LX
44Q+YilOSVkgGmjVN2te4oc0NTHxQInCKmGyQOqhx5fg6UffU+ehs407pXpv11mAdJEDV79gXulr
u5q+CfpGr5T143uQeXGUVKl3H8rQvWM2QBxKURO9TZS8L299Iy5uRIyZKgKJbjwQ1ulGvjNMO74u
fzM6nj6z1Kw/mEBj02nkSzxIcS6Eeu15JO6QH7kEPYl3kxD7fMq7qzG7zrdpYpvHPTcr1ByduYuN
NL10CS2czfDhZvDVMRgY+RS+BbJNYPrf+I3UznVKe4dPGNDfpQ4hiIm0Bhbms3HrOVwqAiRHNQWA
KMv/w96ZNLeNJFH4rzjmTgX25TAdMdoXa7EkW9N9YUAkGwCxEYWFAH99f8VFTVCy7DZ4UEwMTt0m
VVUoVmVVZr58T30aklQ+9GOLDLeGk04ISWJMSE6qM5B+hUYVbdDg1vm6C+YZPxZ6P9LAEPQZMFcc
AgnVvzi+Yd05AG8fMmEADRVU6PI+ARzyiwYN7xKhGgFqCuTxV0vJyWcK8pGq3syOQCaYqKsmyQMF
OxDRTbl+nGqpGkI+Gk+p+JXVWOSLTWCgZNXvoJfVT+Exbx8VIeqrttClPi5/WFN4e40Fqs/DpgiL
4zJxv+ilUp/N0irgfzVjdkUlen4fmAlYBQqQ5yfwlMPFEswz9bJCdPML0HwcuaF1AVUDykUREVyl
iOEWM5PqW1AFBEzQ1yXnhK6a39T+15raAUALDVD0vNAvrVnSnDcK8HLDDZxToo38Doirzq3DJIEU
EkRtBU9lGwWIOlOqBNV8Y+anwBE4HWO4yQ4Bb8dnM2oUvoGfhFwKcasH6u/t06LJh1MCLCrlzdMi
PEZoBkU4CiWURqj3AVUwxSFCEKhEUJJ4BZuwQYAmaKurRhggATStgRACewpZB6JGRzb2ZjzNK+tP
Qp1zuI4tc3EeuGU8mtl2fu4Kd3gSy6sVJeyC0u6W2BHQiuyICLEFT00+AytZU9ZROdX1fKZqx8M2
RkOpRlg5sm3tKpom9c2icGb6V843WClTWFXrI7QckrtpGepHRWRSOp00vnUPyhRBGHPgyjKFKdeC
dG48R9Co+qcAlkCn1Qp3wchSo1ufQ9av4+YzkK3ihNo8t6EewyEVzjXgWoP2H8vb6v5/wQ6Co17o
BG+Hhvu7j17H/WI4R0uMmsbTPKraz2Zhmjd5GuSCQFk+OKaACFhIFpdXjZq3Z04aNneqWRaPwTwB
F5NfzZxFc5y7Wn6bIBs4QgmYWEmZi0u1Nodnwne+cVGbnxKSOa5tYXwhZEWtjFlHEdoWEJPG4BBg
nDwN3QXaPHNDgEclVwCqJdGsxX2lK7PnJkpi1I1cLaZOldLUQz0FsJfqFPJHVCxS7gNo/27gtovb
AeF9qM1noVk9k1onIN2mkQ2euTKG2lkywLhdDBt4PAPdvs/U+Gmmx01wlca5Pfysp4pXzt3ZdWNy
kYNkOq8uojloGviB2+gEKFcA8gUSNeUpTPgvMUcHIx3eZaABTs2QcD8MGiDznxYBJYWGLhzfvvO1
WX7H6XdRJpyg8x/kNHbzUOSgTMuQJO/UUeKn7+S9Ii5LBJ4BypkEAHE6QqpoibHF3Ny3QgY/kc9d
doRkDCcCkCVtNxvpCC7zeUxHYIWBzM4cqgSIznNX42cwvCJ0cLP8rOE+usDg/iCjK19jO3HjksvV
HReUu4GOJ3U6Xf9/NmhVG1whtSjTmfZozSELDPOw5SoRi/MMaU74zUub++BgnnCDf//V1V0aRtm7
oSmQIqu2juLOziTPp+ZgmA0FAo0qMPXDeu5XxrUd5dpjOi3woMiD8/K10UKLTvUVsXaRVrJ0wbdj
UtCN+oNs3W6yExp/k7Q6KqbACAxjdzw+hWmt5uPM2EIYF3Od8IMZBtrjorWLsSvUH6Zxd/OQrmLo
qI5oAAYUiEF3qUEhT2ihXyuy8xTlqM8U0SLvzGnsRYMyCY4RChgh42MYN37tVPqFIIk+RMIaAb3k
mlqZmOMOa35CgNsQt4mo1ZtkYC1ml0JT3W91ULondQQrzqGxSIfc1RMLnKmv6C5RHKNcPGjWYAgR
eBOJ87Cq8C0oWfBgK5+XDxBLUfK9KFWYv45SiyL9PxY4kXA/OA1euj80dRw8HwcUqUCy3bZOljxu
izF2Iv3TWdTpg45GmRQrlqB0MtgzmMqMpvns4xAP5IGp4FUT4f2yQF+mOHVRZEap3M8EZEkJr2Nk
M9U6E4EK52ChOtnvywBIYuXqzf/Dmz+jpYWihkae9vt4nKcWLZ3U7+BxVn+zjm6qinGgmLpmWwo/
IE7C39FNVVX5COStTq5vhbnZqGhJOA4xMCjXbcPC6LDpN3Ac5QACWPB+igPNHzdG7Z8EN3csOKbF
lCl+FNw0A0VSXe69rdAmqrkqtCT5/KZKxn4RgwN73pqNNyy3TGpv2c5XHezYTtHocTJr6MCZUv5I
zrFyvbC+CV1qzMbvd7U0BJ2+QHqYePFgCFyTc3AHsNCSfIvN2FDZ9hQ3y4sFkRFIzGTZbZSbfxTT
xndGAVRLpUIyVisQD8/gRg7TS0VXcj8ZZzk1Uz45cJQ4XftsKHzlDL70ahI6ClVRnythFLg9ijVb
XMSFOx2KR2dK/orjKRs+tnl5OtVC87IA63g3hQSdWuXpME/LIw1RCyqNBRkKrbZQ0EAAWHfxAOIk
D6IHrjB+LciIp7WdHTMIcnBUMIHrgNztUmD4v7ZNXF3FwxxaKZJs8RyF5hC94ysblehjEyzjjaPC
VPcHaUr4BQZ+QqCn1ASqiqah3wLkmy2upiV47oc5QSAjPdFrHzkoWBMpG2yG1HSLsDj737Ia6+yO
zFmcLK3Bl2oi2vtJUVHMtGFnkZ/eZWFaPlIxXYZl+0+/9H5D62TJKs0yyqq0lCOAayPdtinszq3N
8DKk5VDeayH2GHE1Jg+juxDaAD6Rp+jyIcsRZ4A8Vh8PXBeT45DjIMK2fFYdbk3R9ybh/fdbzeb7
3+m8gTfGoB6HRSnCUbk9BwR/yPF0TPFySK8nYaeJrUmwD0gyWUTn3dUkcNnangQkDQ8sTDQgyBXR
9qrDDzQJ6EZgQvtNgsMJQvJX3iqXz+4kKCZct4C+LJYIPX2gtyfTJ7NvvV7fQNdSB36lc66unu4a
cJCp1CVO1eV8lc+HmwXC+Ra/Wb9Z0A5wZbhT6+tFsGMObPOA6wps3VCVLJ/VqvtAa0FVFQl87DUL
GqzOEpFsrXe7NDDb9sDRDgzHhlxL3rU+5FpQjWW+utcssCNwb6lQ3xg9bpvbs0Dt8oHFdoDrh/sh
XX2gVcAFTl5ae70/RyOAbUQn9LVFePX+EL6ZVJdCubtcBavN94FmgaiIxLj3mgVDOcAJkDq6q6Wu
sLm2VwF2kW6ALJES29jND7YWDMxV31nQsYuOxXsC0V0+3Vkgxnkg6yAIf3y0raCD3uu9FWApBPVP
zGm10l8tAuuAwg3gOnily+fDHY6sT6P3IrAPjCVS2wEMIx+82u2tsFoEFptuiT8C1v3h1oJhab3v
iZhFDdwTuKzVb71jEGT44gVg9dPHwk9YzRfX6ygI4/HS6QonxVtu1/e+sHE3Xn++djWWIqr4VJ0v
Sh9s1ffkJTb0W8eXWJ58Wx9uTsJlP+s/X7/g6647fW3eavOP5+FEeCBXSZxLH3M9zBWE7j+x9+wl
3rYvRPiHnff3SP79r844t4zgDxouop12DaImvdsV4SJLuw27ko61f8ORlxZd3laCrGy/vi0feTHK
o2IHqLhyOXu3DbpGeONsM0q5+FZ+XP+W03QyKsNR1fGUbWKKm87exG++XBTeWx3Hk9ibe2KyaUkO
GzXfPUz2xrv/lP35iQhblTx38aEkF/awCkF7i3DcXYUrn6HvtJ9NMkCt3ZZxlvBM+7Z8zoyH4aYd
OeOIC8qEU9+GL8Ze0FmAa8ehd7so/qZZWGxGuBzy6jbau+l0jEBud5YlQHjT1a+v7ItsvtOs63DE
9x3w1WvbZKmauoeGGVk1itpNS8tJltePzT/8+lR8zqhUeTXNKBbu4Xi59sK0Yz1kEfEexnztifaV
IjpySnv4Ca+9ovBGQVVMyrKzptH1MfYxJeEoCH2vG9sl6riHHX4dchZAcdBZ2RqBzD1smOuwAKFT
hBChbZacXINggqWD0HffyNYzGDk2La2b3svAqZXfsSGk0R1309Wvb5ybybPwdm5PFMRae2m69rrn
1jrK0XeibybzT+deMiuCsHus0770cfbR/uVEFJN209byp4T8bk+NX0+acNQ5xoiFyijgPkb+O4i3
TUvrcctwQu+mEdcJPr2lMAdnqUR77KeDYy/a3ftU1OzhSnIbhN0ZN1gt/Ud9G8XcSLpejUboYQ9G
9lZM/N302TIy1Hem7yaQ7VAO5+24CZppaXsY932QjSefLopXZ5ttyRqrvqN/+KHU4YvX+2vu5KqD
1wsRYQ11D/7II7M/KYpJ50qxDnr1nZvvqoH0nJKvpRdsfjlpU9BmlXGZvsN9hwWm54DfK9fr2fST
x7mDDFN3a67jdX1n5GlSlJ/eHDxprD0svqewGGVU0XZubut0ZO+xfx9D9O6UvxVpeknOvI4/bTLx
b/1ZN7gmvzGKJ5747S8AAAD//w==</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accent3"/>
              </a:solidFill>
            </a:defRPr>
          </a:pPr>
          <a:endParaRPr lang="en-US" sz="900" b="0" i="0" u="none" strike="noStrike" baseline="0">
            <a:solidFill>
              <a:schemeClr val="accent3"/>
            </a:solidFill>
            <a:latin typeface="Calibri" panose="020F0502020204030204"/>
          </a:endParaRPr>
        </a:p>
      </cx:txPr>
    </cx:legend>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microsoft.com/office/2014/relationships/chartEx" Target="../charts/chartEx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3" Type="http://schemas.openxmlformats.org/officeDocument/2006/relationships/chart" Target="../charts/chart14.xml"/><Relationship Id="rId21" Type="http://schemas.openxmlformats.org/officeDocument/2006/relationships/image" Target="../media/image16.png"/><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 Type="http://schemas.openxmlformats.org/officeDocument/2006/relationships/chart" Target="../charts/chart13.xml"/><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image" Target="../media/image6.png"/><Relationship Id="rId24" Type="http://schemas.openxmlformats.org/officeDocument/2006/relationships/chart" Target="../charts/chart18.xml"/><Relationship Id="rId5" Type="http://schemas.openxmlformats.org/officeDocument/2006/relationships/chart" Target="../charts/chart16.xml"/><Relationship Id="rId15" Type="http://schemas.openxmlformats.org/officeDocument/2006/relationships/image" Target="../media/image10.png"/><Relationship Id="rId23" Type="http://schemas.microsoft.com/office/2014/relationships/chartEx" Target="../charts/chartEx2.xml"/><Relationship Id="rId10" Type="http://schemas.openxmlformats.org/officeDocument/2006/relationships/image" Target="../media/image5.svg"/><Relationship Id="rId19" Type="http://schemas.openxmlformats.org/officeDocument/2006/relationships/image" Target="../media/image14.png"/><Relationship Id="rId4" Type="http://schemas.openxmlformats.org/officeDocument/2006/relationships/chart" Target="../charts/chart15.xml"/><Relationship Id="rId9" Type="http://schemas.openxmlformats.org/officeDocument/2006/relationships/image" Target="../media/image4.png"/><Relationship Id="rId14" Type="http://schemas.openxmlformats.org/officeDocument/2006/relationships/image" Target="../media/image9.svg"/><Relationship Id="rId22" Type="http://schemas.openxmlformats.org/officeDocument/2006/relationships/image" Target="../media/image17.svg"/></Relationships>
</file>

<file path=xl/drawings/_rels/drawing17.xml.rels><?xml version="1.0" encoding="UTF-8" standalone="yes"?>
<Relationships xmlns="http://schemas.openxmlformats.org/package/2006/relationships"><Relationship Id="rId8" Type="http://schemas.openxmlformats.org/officeDocument/2006/relationships/image" Target="../media/image19.svg"/><Relationship Id="rId13" Type="http://schemas.openxmlformats.org/officeDocument/2006/relationships/image" Target="../media/image24.png"/><Relationship Id="rId3" Type="http://schemas.openxmlformats.org/officeDocument/2006/relationships/chart" Target="../charts/chart20.xml"/><Relationship Id="rId7" Type="http://schemas.openxmlformats.org/officeDocument/2006/relationships/image" Target="../media/image18.png"/><Relationship Id="rId12" Type="http://schemas.openxmlformats.org/officeDocument/2006/relationships/image" Target="../media/image23.svg"/><Relationship Id="rId2" Type="http://schemas.openxmlformats.org/officeDocument/2006/relationships/chart" Target="../charts/chart19.xml"/><Relationship Id="rId1" Type="http://schemas.microsoft.com/office/2014/relationships/chartEx" Target="../charts/chartEx3.xml"/><Relationship Id="rId6" Type="http://schemas.openxmlformats.org/officeDocument/2006/relationships/chart" Target="../charts/chart23.xml"/><Relationship Id="rId11" Type="http://schemas.openxmlformats.org/officeDocument/2006/relationships/image" Target="../media/image22.png"/><Relationship Id="rId5" Type="http://schemas.openxmlformats.org/officeDocument/2006/relationships/chart" Target="../charts/chart22.xml"/><Relationship Id="rId10" Type="http://schemas.openxmlformats.org/officeDocument/2006/relationships/image" Target="../media/image21.svg"/><Relationship Id="rId4" Type="http://schemas.openxmlformats.org/officeDocument/2006/relationships/chart" Target="../charts/chart21.xml"/><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104775</xdr:rowOff>
    </xdr:from>
    <xdr:to>
      <xdr:col>8</xdr:col>
      <xdr:colOff>561975</xdr:colOff>
      <xdr:row>17</xdr:row>
      <xdr:rowOff>114300</xdr:rowOff>
    </xdr:to>
    <xdr:sp macro="" textlink="">
      <xdr:nvSpPr>
        <xdr:cNvPr id="8" name="Rectangle: Rounded Corners 7">
          <a:extLst>
            <a:ext uri="{FF2B5EF4-FFF2-40B4-BE49-F238E27FC236}">
              <a16:creationId xmlns:a16="http://schemas.microsoft.com/office/drawing/2014/main" id="{F9536DA9-D8B8-4DF4-AF61-FC59B19DA217}"/>
            </a:ext>
          </a:extLst>
        </xdr:cNvPr>
        <xdr:cNvSpPr/>
      </xdr:nvSpPr>
      <xdr:spPr>
        <a:xfrm>
          <a:off x="85725" y="104775"/>
          <a:ext cx="5353050" cy="32480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ctr"/>
          <a:r>
            <a:rPr lang="en-US" sz="1200" b="1">
              <a:solidFill>
                <a:schemeClr val="bg1"/>
              </a:solidFill>
            </a:rPr>
            <a:t>PROJECT</a:t>
          </a:r>
          <a:r>
            <a:rPr lang="en-US" sz="1200" b="1" baseline="0">
              <a:solidFill>
                <a:schemeClr val="bg1"/>
              </a:solidFill>
            </a:rPr>
            <a:t>  SPLIT</a:t>
          </a:r>
        </a:p>
        <a:p>
          <a:pPr algn="l"/>
          <a:endParaRPr lang="en-US" sz="1200" b="1" baseline="0">
            <a:solidFill>
              <a:schemeClr val="bg1"/>
            </a:solidFill>
          </a:endParaRPr>
        </a:p>
        <a:p>
          <a:pPr algn="l"/>
          <a:r>
            <a:rPr lang="en-US" sz="1200" b="1" baseline="0">
              <a:solidFill>
                <a:schemeClr val="bg1"/>
              </a:solidFill>
            </a:rPr>
            <a:t>1. Category 1: Independent Values</a:t>
          </a:r>
        </a:p>
        <a:p>
          <a:pPr algn="l"/>
          <a:endParaRPr lang="en-US" sz="1200" b="1" baseline="0">
            <a:solidFill>
              <a:schemeClr val="bg1"/>
            </a:solidFill>
          </a:endParaRPr>
        </a:p>
        <a:p>
          <a:pPr algn="l"/>
          <a:r>
            <a:rPr lang="en-US" sz="1200" b="1" baseline="0">
              <a:solidFill>
                <a:schemeClr val="bg1"/>
              </a:solidFill>
            </a:rPr>
            <a:t>Customer name, Addresss, City, State, Country/Region, Salesperson,Region, Shipper name, Ship name, Ship address, Ship city, Ship country, Payment type, Product name, Category.</a:t>
          </a:r>
        </a:p>
        <a:p>
          <a:pPr algn="l"/>
          <a:endParaRPr lang="en-US" sz="1200" b="1" baseline="0">
            <a:solidFill>
              <a:schemeClr val="bg1"/>
            </a:solidFill>
          </a:endParaRPr>
        </a:p>
        <a:p>
          <a:pPr algn="l"/>
          <a:endParaRPr lang="en-US" sz="1200" b="1" baseline="0">
            <a:solidFill>
              <a:schemeClr val="bg1"/>
            </a:solidFill>
          </a:endParaRPr>
        </a:p>
        <a:p>
          <a:pPr algn="l"/>
          <a:endParaRPr lang="en-US" sz="1200" b="1" baseline="0">
            <a:solidFill>
              <a:schemeClr val="bg1"/>
            </a:solidFill>
          </a:endParaRPr>
        </a:p>
        <a:p>
          <a:pPr algn="l"/>
          <a:r>
            <a:rPr lang="en-US" sz="1200" b="1" baseline="0">
              <a:solidFill>
                <a:schemeClr val="bg1"/>
              </a:solidFill>
            </a:rPr>
            <a:t>2. Category 2: Dependent Values</a:t>
          </a:r>
        </a:p>
        <a:p>
          <a:pPr algn="l"/>
          <a:endParaRPr lang="en-US" sz="1200" b="1" baseline="0">
            <a:solidFill>
              <a:schemeClr val="bg1"/>
            </a:solidFill>
          </a:endParaRPr>
        </a:p>
        <a:p>
          <a:pPr algn="l"/>
          <a:r>
            <a:rPr lang="en-US" sz="1200" b="1" baseline="0">
              <a:solidFill>
                <a:schemeClr val="bg1"/>
              </a:solidFill>
            </a:rPr>
            <a:t>Order ID, Order date, Customer ID, Zip/postal code, Shipped date, Ship zip/postal code, Unit Price, Quantity, Revenue, and Shipping price.</a:t>
          </a:r>
        </a:p>
      </xdr:txBody>
    </xdr:sp>
    <xdr:clientData/>
  </xdr:twoCellAnchor>
  <xdr:twoCellAnchor>
    <xdr:from>
      <xdr:col>9</xdr:col>
      <xdr:colOff>228600</xdr:colOff>
      <xdr:row>0</xdr:row>
      <xdr:rowOff>76200</xdr:rowOff>
    </xdr:from>
    <xdr:to>
      <xdr:col>18</xdr:col>
      <xdr:colOff>95250</xdr:colOff>
      <xdr:row>25</xdr:row>
      <xdr:rowOff>0</xdr:rowOff>
    </xdr:to>
    <xdr:sp macro="" textlink="">
      <xdr:nvSpPr>
        <xdr:cNvPr id="16" name="Rectangle: Rounded Corners 15">
          <a:extLst>
            <a:ext uri="{FF2B5EF4-FFF2-40B4-BE49-F238E27FC236}">
              <a16:creationId xmlns:a16="http://schemas.microsoft.com/office/drawing/2014/main" id="{176DB217-2880-4CB8-A0C0-DE7F8E585A9F}"/>
            </a:ext>
          </a:extLst>
        </xdr:cNvPr>
        <xdr:cNvSpPr/>
      </xdr:nvSpPr>
      <xdr:spPr>
        <a:xfrm>
          <a:off x="5715000" y="76200"/>
          <a:ext cx="5353050" cy="468630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a:p>
          <a:pPr algn="ctr"/>
          <a:r>
            <a:rPr lang="en-US" sz="1100" b="1"/>
            <a:t>POTENTIAL</a:t>
          </a:r>
          <a:r>
            <a:rPr lang="en-US" sz="1100" b="1" baseline="0"/>
            <a:t> ANALYSIS/ QUESTION</a:t>
          </a:r>
        </a:p>
        <a:p>
          <a:pPr algn="ctr"/>
          <a:endParaRPr lang="en-US" sz="1100" b="1" baseline="0"/>
        </a:p>
        <a:p>
          <a:pPr algn="l"/>
          <a:r>
            <a:rPr lang="en-US" sz="1100" b="1" baseline="0"/>
            <a:t>1. Name of the shipper by quantity of goods transported.</a:t>
          </a:r>
        </a:p>
        <a:p>
          <a:pPr algn="l"/>
          <a:r>
            <a:rPr lang="en-US" sz="1100" b="1" baseline="0"/>
            <a:t>2. Performance analysis of customers by revenue generated</a:t>
          </a:r>
        </a:p>
        <a:p>
          <a:pPr algn="l"/>
          <a:r>
            <a:rPr lang="en-US" sz="1100" b="1" baseline="0"/>
            <a:t>3. Regional performance generated by unit price</a:t>
          </a:r>
        </a:p>
        <a:p>
          <a:pPr algn="l"/>
          <a:r>
            <a:rPr lang="en-US" sz="1100" b="1" baseline="0"/>
            <a:t>4. Customers performance generated by quantity purchased</a:t>
          </a:r>
        </a:p>
        <a:p>
          <a:pPr algn="l"/>
          <a:r>
            <a:rPr lang="en-US" sz="1100" b="1" baseline="0"/>
            <a:t>5. Best performing ship by revenue generated</a:t>
          </a:r>
        </a:p>
        <a:p>
          <a:pPr algn="l"/>
          <a:r>
            <a:rPr lang="en-US" sz="1100" b="1" baseline="0"/>
            <a:t>6. Analysis of product name with the shipping price generated</a:t>
          </a:r>
        </a:p>
        <a:p>
          <a:pPr algn="l"/>
          <a:r>
            <a:rPr lang="en-US" sz="1100" b="1" baseline="0"/>
            <a:t>7. Most frequently used payment type by order ID in the year</a:t>
          </a:r>
        </a:p>
        <a:p>
          <a:pPr algn="l"/>
          <a:r>
            <a:rPr lang="en-US" sz="1100" b="1" baseline="0"/>
            <a:t>8. Performance activities done inship addresses by the order date</a:t>
          </a:r>
        </a:p>
        <a:p>
          <a:pPr algn="l"/>
          <a:r>
            <a:rPr lang="en-US" sz="1100" b="1" baseline="0"/>
            <a:t>9. Best performing salespersons for the year by revenue generated</a:t>
          </a:r>
        </a:p>
        <a:p>
          <a:pPr algn="l"/>
          <a:r>
            <a:rPr lang="en-US" sz="1100" b="1" baseline="0"/>
            <a:t>10. Lest country/region by the shipped date delivery</a:t>
          </a:r>
        </a:p>
        <a:p>
          <a:pPr algn="l"/>
          <a:r>
            <a:rPr lang="en-US" sz="1100" b="1" baseline="0"/>
            <a:t>11. Top five category of goods purchased by the number of quantity</a:t>
          </a:r>
        </a:p>
        <a:p>
          <a:pPr algn="l"/>
          <a:r>
            <a:rPr lang="en-US" sz="1100" b="1" baseline="0"/>
            <a:t>12. Name of the city with the largest influx of shipping price </a:t>
          </a:r>
        </a:p>
        <a:p>
          <a:pPr algn="l"/>
          <a:r>
            <a:rPr lang="en-US" sz="1100" b="1" baseline="0"/>
            <a:t>13. Performance analysis of the product name with the largest influx of customer ID</a:t>
          </a:r>
        </a:p>
        <a:p>
          <a:pPr algn="l"/>
          <a:r>
            <a:rPr lang="en-US" sz="1100" b="1" baseline="0"/>
            <a:t>14. Performance analysis of the ship name with the least recent of shipped date</a:t>
          </a:r>
        </a:p>
        <a:p>
          <a:pPr algn="l"/>
          <a:r>
            <a:rPr lang="en-US" sz="1100" b="1" baseline="0"/>
            <a:t>15. The three best region that generated the highest amount of revenue for the month</a:t>
          </a:r>
        </a:p>
        <a:p>
          <a:pPr algn="l"/>
          <a:r>
            <a:rPr lang="en-US" sz="1100" b="1" baseline="0"/>
            <a:t>16. Analysis generated from the unit price of each product name for the month</a:t>
          </a:r>
        </a:p>
        <a:p>
          <a:pPr algn="l"/>
          <a:r>
            <a:rPr lang="en-US" sz="1100" b="1" baseline="0"/>
            <a:t>17. The first address that has the least amount of order date</a:t>
          </a:r>
        </a:p>
        <a:p>
          <a:pPr algn="l"/>
          <a:r>
            <a:rPr lang="en-US" sz="1100" b="1" baseline="0"/>
            <a:t>18. The no of order ID  based  on the ship country for the year</a:t>
          </a:r>
        </a:p>
        <a:p>
          <a:pPr algn="ctr"/>
          <a:endParaRPr lang="en-US" sz="1100" b="1" baseline="0"/>
        </a:p>
      </xdr:txBody>
    </xdr:sp>
    <xdr:clientData/>
  </xdr:twoCellAnchor>
  <xdr:twoCellAnchor>
    <xdr:from>
      <xdr:col>0</xdr:col>
      <xdr:colOff>104775</xdr:colOff>
      <xdr:row>18</xdr:row>
      <xdr:rowOff>28575</xdr:rowOff>
    </xdr:from>
    <xdr:to>
      <xdr:col>8</xdr:col>
      <xdr:colOff>581025</xdr:colOff>
      <xdr:row>33</xdr:row>
      <xdr:rowOff>95250</xdr:rowOff>
    </xdr:to>
    <xdr:sp macro="" textlink="">
      <xdr:nvSpPr>
        <xdr:cNvPr id="18" name="Rectangle: Rounded Corners 17">
          <a:extLst>
            <a:ext uri="{FF2B5EF4-FFF2-40B4-BE49-F238E27FC236}">
              <a16:creationId xmlns:a16="http://schemas.microsoft.com/office/drawing/2014/main" id="{7E922395-5DB7-4D32-B343-E6E1FE548DDC}"/>
            </a:ext>
          </a:extLst>
        </xdr:cNvPr>
        <xdr:cNvSpPr/>
      </xdr:nvSpPr>
      <xdr:spPr>
        <a:xfrm>
          <a:off x="104775" y="3457575"/>
          <a:ext cx="5353050" cy="292417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DATA STORY</a:t>
          </a:r>
          <a:r>
            <a:rPr lang="en-US" sz="1100" b="1" baseline="0"/>
            <a:t> </a:t>
          </a:r>
        </a:p>
        <a:p>
          <a:pPr algn="l"/>
          <a:r>
            <a:rPr lang="en-US" sz="1100" b="1" baseline="0"/>
            <a:t>The data is a telling a story around goods solds by the firm situated in different countries, this also highlight quantity purchased , the shipping date, salespersons for each sales, order ID, order date and the likes.</a:t>
          </a:r>
        </a:p>
        <a:p>
          <a:pPr algn="l"/>
          <a:endParaRPr lang="en-US" sz="1100" b="1" baseline="0"/>
        </a:p>
        <a:p>
          <a:pPr algn="ctr"/>
          <a:r>
            <a:rPr lang="en-US" sz="1100" b="1" baseline="0"/>
            <a:t>INDUSTRY RELEVANT </a:t>
          </a:r>
        </a:p>
        <a:p>
          <a:pPr algn="ctr"/>
          <a:endParaRPr lang="en-US" sz="1100" b="1" baseline="0"/>
        </a:p>
        <a:p>
          <a:pPr algn="l"/>
          <a:r>
            <a:rPr lang="en-US" sz="1100" b="1" baseline="0"/>
            <a:t>The dataset is particularly valuable in the following industries; Retail and E-commerce, logistic and supply chain ,Manufacturing, Sales and Marketing and the likes. </a:t>
          </a:r>
        </a:p>
        <a:p>
          <a:pPr algn="l"/>
          <a:endParaRPr lang="en-US" sz="1100" b="1" baseline="0"/>
        </a:p>
        <a:p>
          <a:pPr algn="ctr"/>
          <a:r>
            <a:rPr lang="en-US" sz="1100" b="1" baseline="0"/>
            <a:t>KEY STAKEHOLDERS</a:t>
          </a:r>
        </a:p>
        <a:p>
          <a:pPr algn="ctr"/>
          <a:endParaRPr lang="en-US" sz="1100" b="1" baseline="0"/>
        </a:p>
        <a:p>
          <a:pPr algn="ctr"/>
          <a:r>
            <a:rPr lang="en-US" sz="1100" b="1" baseline="0"/>
            <a:t>We have the sales and marketing team, logistics and supply chain managers, Finance and accounting team, legal and compliance team and such alike.</a:t>
          </a:r>
          <a:endParaRPr lang="en-US" sz="1100" b="1"/>
        </a:p>
      </xdr:txBody>
    </xdr:sp>
    <xdr:clientData/>
  </xdr:twoCellAnchor>
  <xdr:twoCellAnchor>
    <xdr:from>
      <xdr:col>0</xdr:col>
      <xdr:colOff>428625</xdr:colOff>
      <xdr:row>35</xdr:row>
      <xdr:rowOff>66675</xdr:rowOff>
    </xdr:from>
    <xdr:to>
      <xdr:col>9</xdr:col>
      <xdr:colOff>295275</xdr:colOff>
      <xdr:row>41</xdr:row>
      <xdr:rowOff>161925</xdr:rowOff>
    </xdr:to>
    <xdr:sp macro="" textlink="">
      <xdr:nvSpPr>
        <xdr:cNvPr id="22" name="Rectangle: Rounded Corners 21">
          <a:extLst>
            <a:ext uri="{FF2B5EF4-FFF2-40B4-BE49-F238E27FC236}">
              <a16:creationId xmlns:a16="http://schemas.microsoft.com/office/drawing/2014/main" id="{CCE2C54A-99F0-4219-98A8-0679D8525449}"/>
            </a:ext>
          </a:extLst>
        </xdr:cNvPr>
        <xdr:cNvSpPr/>
      </xdr:nvSpPr>
      <xdr:spPr>
        <a:xfrm>
          <a:off x="428625" y="6734175"/>
          <a:ext cx="5353050" cy="12382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a:p>
          <a:pPr algn="ctr"/>
          <a:r>
            <a:rPr lang="en-US" sz="1100" b="1"/>
            <a:t>DEFINITION</a:t>
          </a:r>
          <a:r>
            <a:rPr lang="en-US" sz="1100" b="1" baseline="0"/>
            <a:t> OF SUCCESS</a:t>
          </a:r>
        </a:p>
        <a:p>
          <a:pPr algn="ctr"/>
          <a:r>
            <a:rPr lang="en-US" sz="1100" b="1" baseline="0"/>
            <a:t>Revenue growth, increasing international sales and expanding into new market, and profitability , maintaining or improving margins.</a:t>
          </a:r>
        </a:p>
      </xdr:txBody>
    </xdr:sp>
    <xdr:clientData/>
  </xdr:twoCellAnchor>
  <xdr:twoCellAnchor>
    <xdr:from>
      <xdr:col>10</xdr:col>
      <xdr:colOff>0</xdr:colOff>
      <xdr:row>28</xdr:row>
      <xdr:rowOff>0</xdr:rowOff>
    </xdr:from>
    <xdr:to>
      <xdr:col>18</xdr:col>
      <xdr:colOff>476250</xdr:colOff>
      <xdr:row>64</xdr:row>
      <xdr:rowOff>57149</xdr:rowOff>
    </xdr:to>
    <xdr:sp macro="" textlink="">
      <xdr:nvSpPr>
        <xdr:cNvPr id="24" name="Rectangle: Rounded Corners 23">
          <a:extLst>
            <a:ext uri="{FF2B5EF4-FFF2-40B4-BE49-F238E27FC236}">
              <a16:creationId xmlns:a16="http://schemas.microsoft.com/office/drawing/2014/main" id="{251C603A-58D4-409E-9F5B-1D984B7D77E3}"/>
            </a:ext>
          </a:extLst>
        </xdr:cNvPr>
        <xdr:cNvSpPr/>
      </xdr:nvSpPr>
      <xdr:spPr>
        <a:xfrm>
          <a:off x="6096000" y="5334000"/>
          <a:ext cx="5353050" cy="691514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POTENTIAL</a:t>
          </a:r>
          <a:r>
            <a:rPr lang="en-US" sz="1100" b="1" baseline="0"/>
            <a:t> INSIGHTS</a:t>
          </a:r>
        </a:p>
        <a:p>
          <a:pPr algn="ctr"/>
          <a:endParaRPr lang="en-US" sz="1100" b="1" baseline="0"/>
        </a:p>
        <a:p>
          <a:pPr algn="l"/>
          <a:r>
            <a:rPr lang="en-US" sz="1100" b="1" baseline="0"/>
            <a:t>1. Identify the most efficient or utilised shippers, this helps in negotiating contracts</a:t>
          </a:r>
        </a:p>
        <a:p>
          <a:pPr algn="l"/>
          <a:r>
            <a:rPr lang="en-US" sz="1100" b="1" baseline="0"/>
            <a:t>2. Pinpoint high value customers contributing to the most of the revenue, its support target marketing</a:t>
          </a:r>
        </a:p>
        <a:p>
          <a:pPr algn="l"/>
          <a:r>
            <a:rPr lang="en-US" sz="1100" b="1" baseline="0"/>
            <a:t>3. Show how much revenue is generated per unit in each region, this is helpful in pricing strategy and identifying profitable markets.</a:t>
          </a:r>
        </a:p>
        <a:p>
          <a:pPr algn="l"/>
          <a:r>
            <a:rPr lang="en-US" sz="1100" b="1" baseline="0"/>
            <a:t>4. Highlights customers who purchase large volumes,even if their total spend is lower, useful for inventory planning.</a:t>
          </a:r>
        </a:p>
        <a:p>
          <a:pPr algn="l"/>
          <a:r>
            <a:rPr lang="en-US" sz="1100" b="1" baseline="0"/>
            <a:t>5. Indicates which ship is transporting the highest value goods, useful for fleeting optimization and prioritizing routes, or capacity planning.</a:t>
          </a:r>
        </a:p>
        <a:p>
          <a:pPr algn="l"/>
          <a:r>
            <a:rPr lang="en-US" sz="1100" b="1" baseline="0"/>
            <a:t>6. Reveal products incur higher shipping costs, can inform decision about free shipping threshold.</a:t>
          </a:r>
        </a:p>
        <a:p>
          <a:pPr algn="l"/>
          <a:r>
            <a:rPr lang="en-US" sz="1100" b="1" baseline="0"/>
            <a:t>7. Shows customers payment behaviour and ensure to carry a survey around the most used order ID to improve customer efficiency</a:t>
          </a:r>
        </a:p>
        <a:p>
          <a:pPr algn="l"/>
          <a:r>
            <a:rPr lang="en-US" sz="1100" b="1" baseline="0"/>
            <a:t>8. Analyze ship level performance over time e.g "Ship A has peak orders in Q4", this helps in staff scheduling and inventory restocking.</a:t>
          </a:r>
        </a:p>
        <a:p>
          <a:pPr algn="l"/>
          <a:r>
            <a:rPr lang="en-US" sz="1100" b="1" baseline="0"/>
            <a:t>9. Recognise top performers, valuable for bonuses, training others and the likes.</a:t>
          </a:r>
        </a:p>
        <a:p>
          <a:pPr algn="l"/>
          <a:r>
            <a:rPr lang="en-US" sz="1100" b="1" baseline="0"/>
            <a:t>10. Identifies countries with lowest shipping volume or delayed delivery dates, helps to access market expansion opportunities.</a:t>
          </a:r>
        </a:p>
        <a:p>
          <a:pPr algn="l"/>
          <a:r>
            <a:rPr lang="en-US" sz="1100" b="1" baseline="0"/>
            <a:t>11. Identify the most demanded categories, helping optimize inventory and marketing efforts.</a:t>
          </a:r>
        </a:p>
        <a:p>
          <a:pPr algn="l"/>
          <a:r>
            <a:rPr lang="en-US" sz="1100" b="1" baseline="0"/>
            <a:t>12. Reveals the most expensive shipping destinations, could indicate remote locations, high demand zones and the likes.</a:t>
          </a:r>
        </a:p>
        <a:p>
          <a:pPr algn="l"/>
          <a:r>
            <a:rPr lang="en-US" sz="1100" b="1" baseline="0"/>
            <a:t>13. Show which products attract the most unique customers , helps to identify best sellers, entry products, or effective lead generators.</a:t>
          </a:r>
        </a:p>
        <a:p>
          <a:pPr algn="l"/>
          <a:r>
            <a:rPr lang="en-US" sz="1100" b="1" baseline="0"/>
            <a:t>14. Uncovers underutilized ships or possible maintenance/ out of service vessels.</a:t>
          </a:r>
        </a:p>
        <a:p>
          <a:pPr algn="l"/>
          <a:r>
            <a:rPr lang="en-US" sz="1100" b="1" baseline="0"/>
            <a:t>15. Identifies top performing geographic markets for a specific month by showing  seasonal trends in speific areas.</a:t>
          </a:r>
        </a:p>
        <a:p>
          <a:pPr algn="l"/>
          <a:r>
            <a:rPr lang="en-US" sz="1100" b="1" baseline="0"/>
            <a:t>16. Offers a view into price fluctuations, premium vs standard  performance, and product profitability in a specific month.</a:t>
          </a:r>
        </a:p>
        <a:p>
          <a:pPr algn="l"/>
          <a:r>
            <a:rPr lang="en-US" sz="1100" b="1" baseline="0"/>
            <a:t>17. Identifies inactive or low order addresses, potentially due to customer churn, delivery issues, or market potential.</a:t>
          </a:r>
        </a:p>
        <a:p>
          <a:pPr algn="l"/>
          <a:r>
            <a:rPr lang="en-US" sz="1100" b="1" baseline="0"/>
            <a:t>18. Reveal the distribution of orders across countries by understanding international market reach, this assists in global sales strategy, resource planning and the likes.</a:t>
          </a:r>
        </a:p>
        <a:p>
          <a:pPr algn="ctr"/>
          <a:endParaRPr lang="en-US" sz="1100" b="1" baseline="0"/>
        </a:p>
        <a:p>
          <a:pPr algn="ctr"/>
          <a:endParaRPr lang="en-US" sz="1100" b="1" baseline="0"/>
        </a:p>
        <a:p>
          <a:pPr algn="ctr"/>
          <a:endParaRPr lang="en-US" sz="11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409575</xdr:colOff>
      <xdr:row>3</xdr:row>
      <xdr:rowOff>147637</xdr:rowOff>
    </xdr:from>
    <xdr:to>
      <xdr:col>13</xdr:col>
      <xdr:colOff>352425</xdr:colOff>
      <xdr:row>18</xdr:row>
      <xdr:rowOff>33337</xdr:rowOff>
    </xdr:to>
    <xdr:graphicFrame macro="">
      <xdr:nvGraphicFramePr>
        <xdr:cNvPr id="2" name="Chart 1">
          <a:extLst>
            <a:ext uri="{FF2B5EF4-FFF2-40B4-BE49-F238E27FC236}">
              <a16:creationId xmlns:a16="http://schemas.microsoft.com/office/drawing/2014/main" id="{15099840-392E-4509-BD83-01F76425F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276225</xdr:colOff>
      <xdr:row>6</xdr:row>
      <xdr:rowOff>33337</xdr:rowOff>
    </xdr:from>
    <xdr:to>
      <xdr:col>9</xdr:col>
      <xdr:colOff>581025</xdr:colOff>
      <xdr:row>20</xdr:row>
      <xdr:rowOff>109537</xdr:rowOff>
    </xdr:to>
    <xdr:graphicFrame macro="">
      <xdr:nvGraphicFramePr>
        <xdr:cNvPr id="3" name="Chart 2">
          <a:extLst>
            <a:ext uri="{FF2B5EF4-FFF2-40B4-BE49-F238E27FC236}">
              <a16:creationId xmlns:a16="http://schemas.microsoft.com/office/drawing/2014/main" id="{278AFCEE-5F67-0295-331A-EAB973B1F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123824</xdr:rowOff>
    </xdr:from>
    <xdr:to>
      <xdr:col>6</xdr:col>
      <xdr:colOff>523875</xdr:colOff>
      <xdr:row>22</xdr:row>
      <xdr:rowOff>0</xdr:rowOff>
    </xdr:to>
    <xdr:sp macro="" textlink="">
      <xdr:nvSpPr>
        <xdr:cNvPr id="2" name="Rectangle: Rounded Corners 1">
          <a:extLst>
            <a:ext uri="{FF2B5EF4-FFF2-40B4-BE49-F238E27FC236}">
              <a16:creationId xmlns:a16="http://schemas.microsoft.com/office/drawing/2014/main" id="{DCC9171F-5EED-9A0C-A278-0CFB552ABFCD}"/>
            </a:ext>
          </a:extLst>
        </xdr:cNvPr>
        <xdr:cNvSpPr/>
      </xdr:nvSpPr>
      <xdr:spPr>
        <a:xfrm>
          <a:off x="76200" y="123824"/>
          <a:ext cx="4105275" cy="40671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a:t>
          </a:r>
          <a:r>
            <a:rPr lang="en-US" sz="1100"/>
            <a:t>: </a:t>
          </a:r>
          <a:r>
            <a:rPr lang="en-US" sz="1200"/>
            <a:t>Top ten customers</a:t>
          </a:r>
          <a:endParaRPr lang="en-US" sz="1100"/>
        </a:p>
        <a:p>
          <a:pPr algn="l"/>
          <a:endParaRPr lang="en-US" sz="1100"/>
        </a:p>
        <a:p>
          <a:pPr algn="l"/>
          <a:r>
            <a:rPr lang="en-US" sz="1100" b="1"/>
            <a:t>OBSERVATION:</a:t>
          </a:r>
          <a:r>
            <a:rPr lang="en-US" sz="1100" baseline="0"/>
            <a:t> </a:t>
          </a:r>
          <a:r>
            <a:rPr lang="en-US" sz="1200" baseline="0"/>
            <a:t>Company D has the highest turnout of revenue with the amount of $67,181, followed by company H with the revenue of $50,208, followed by company BB with the revenue of $43,713.</a:t>
          </a:r>
        </a:p>
        <a:p>
          <a:pPr algn="l"/>
          <a:r>
            <a:rPr lang="en-US" sz="1200" baseline="0"/>
            <a:t>2.Company K has the lowest revenue with $21,937, followed by company C with the revenue $27,005, followed by company C with the revenue $28,208. </a:t>
          </a:r>
        </a:p>
        <a:p>
          <a:pPr algn="l"/>
          <a:endParaRPr lang="en-US" sz="1200" baseline="0"/>
        </a:p>
        <a:p>
          <a:pPr algn="l"/>
          <a:r>
            <a:rPr lang="en-US" sz="1200" b="1" baseline="0"/>
            <a:t>PRE-INSIGHT</a:t>
          </a:r>
          <a:r>
            <a:rPr lang="en-US" sz="1200" b="0" baseline="0"/>
            <a:t>: 1.The formulation implemented in company D that aids in generating the highest revenue should be introduced to the companies with the low amount revenue most especially company K that has the lowest revenue generated.</a:t>
          </a:r>
        </a:p>
        <a:p>
          <a:pPr algn="l"/>
          <a:r>
            <a:rPr lang="en-US" sz="1200" b="0" baseline="0"/>
            <a:t>2. Strategic planning and ensuring the permanent formulations, decisions and the overall workflow in company D is ongoing and not disrupted by any external factors.</a:t>
          </a:r>
        </a:p>
        <a:p>
          <a:pPr algn="l"/>
          <a:endParaRPr lang="en-US" sz="1100" b="1"/>
        </a:p>
      </xdr:txBody>
    </xdr:sp>
    <xdr:clientData/>
  </xdr:twoCellAnchor>
  <xdr:twoCellAnchor>
    <xdr:from>
      <xdr:col>7</xdr:col>
      <xdr:colOff>47625</xdr:colOff>
      <xdr:row>0</xdr:row>
      <xdr:rowOff>66675</xdr:rowOff>
    </xdr:from>
    <xdr:to>
      <xdr:col>13</xdr:col>
      <xdr:colOff>495300</xdr:colOff>
      <xdr:row>25</xdr:row>
      <xdr:rowOff>123825</xdr:rowOff>
    </xdr:to>
    <xdr:sp macro="" textlink="">
      <xdr:nvSpPr>
        <xdr:cNvPr id="4" name="Rectangle: Rounded Corners 3">
          <a:extLst>
            <a:ext uri="{FF2B5EF4-FFF2-40B4-BE49-F238E27FC236}">
              <a16:creationId xmlns:a16="http://schemas.microsoft.com/office/drawing/2014/main" id="{DF9FD729-A52E-E4FA-4A66-0F6AB0D611AE}"/>
            </a:ext>
          </a:extLst>
        </xdr:cNvPr>
        <xdr:cNvSpPr/>
      </xdr:nvSpPr>
      <xdr:spPr>
        <a:xfrm>
          <a:off x="4314825" y="66675"/>
          <a:ext cx="4105275" cy="48196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a:t>
          </a:r>
          <a:r>
            <a:rPr lang="en-US" sz="1100"/>
            <a:t>: </a:t>
          </a:r>
          <a:r>
            <a:rPr lang="en-US" sz="1200"/>
            <a:t>Sales</a:t>
          </a:r>
          <a:r>
            <a:rPr lang="en-US" sz="1200" baseline="0"/>
            <a:t> Performance</a:t>
          </a:r>
          <a:endParaRPr lang="en-US" sz="1100"/>
        </a:p>
        <a:p>
          <a:pPr algn="l"/>
          <a:endParaRPr lang="en-US" sz="1100"/>
        </a:p>
        <a:p>
          <a:pPr algn="l"/>
          <a:r>
            <a:rPr lang="en-US" sz="1100" b="1"/>
            <a:t>OBSERVATION: 1.</a:t>
          </a:r>
          <a:r>
            <a:rPr lang="en-US" sz="1100" baseline="0"/>
            <a:t> Nancy Freehafer happens to the sales person with the highest amount of sum of revenue $401, 252 generated, followed by Anne Larsen with the sum of revenue $93,858, followed by Andrew censini with the sum of revenue $67,181, followed by Mariya sergienko with the sum of revenue $42,371, followed by Laura Gussani with  the sum of revenue $41,095, followed by Micheal Neipper with the sum of revenue $37,428, followed by Robert zare with the sum of revenue $32,531, and lastly followed by Jan Kotas with the sum of revenue $16, 351.</a:t>
          </a:r>
        </a:p>
        <a:p>
          <a:pPr algn="l"/>
          <a:r>
            <a:rPr lang="en-US" sz="1100" baseline="0"/>
            <a:t>2. Jan Kotas happens to be the salesperson with the lowest amount of sum of revenue of $16, 351.</a:t>
          </a:r>
          <a:endParaRPr lang="en-US" sz="1200" baseline="0"/>
        </a:p>
        <a:p>
          <a:pPr algn="l"/>
          <a:endParaRPr lang="en-US" sz="1200" baseline="0"/>
        </a:p>
        <a:p>
          <a:pPr algn="l"/>
          <a:r>
            <a:rPr lang="en-US" sz="1200" b="1" baseline="0"/>
            <a:t>PRE-INSIGHT: </a:t>
          </a:r>
          <a:r>
            <a:rPr lang="en-US" sz="1100" b="0" baseline="0"/>
            <a:t>1. The first three top performing salespersons should be given some certain awards or credit, as a form of complement for doing a good job.</a:t>
          </a:r>
        </a:p>
        <a:p>
          <a:pPr algn="l"/>
          <a:r>
            <a:rPr lang="en-US" sz="1100" b="0" baseline="0"/>
            <a:t>2. While the first three last salespersons should be gi ven some sort of entry to  conferences that will make them get more effiecient and effective in producing more revenues.</a:t>
          </a:r>
        </a:p>
        <a:p>
          <a:pPr algn="l"/>
          <a:endParaRPr lang="en-US" sz="1100" b="1"/>
        </a:p>
      </xdr:txBody>
    </xdr:sp>
    <xdr:clientData/>
  </xdr:twoCellAnchor>
  <xdr:twoCellAnchor>
    <xdr:from>
      <xdr:col>13</xdr:col>
      <xdr:colOff>561975</xdr:colOff>
      <xdr:row>0</xdr:row>
      <xdr:rowOff>95249</xdr:rowOff>
    </xdr:from>
    <xdr:to>
      <xdr:col>20</xdr:col>
      <xdr:colOff>400050</xdr:colOff>
      <xdr:row>21</xdr:row>
      <xdr:rowOff>161925</xdr:rowOff>
    </xdr:to>
    <xdr:sp macro="" textlink="">
      <xdr:nvSpPr>
        <xdr:cNvPr id="5" name="Rectangle: Rounded Corners 4">
          <a:extLst>
            <a:ext uri="{FF2B5EF4-FFF2-40B4-BE49-F238E27FC236}">
              <a16:creationId xmlns:a16="http://schemas.microsoft.com/office/drawing/2014/main" id="{C5AE9D35-2917-70F5-32E4-5AAA1F80F337}"/>
            </a:ext>
          </a:extLst>
        </xdr:cNvPr>
        <xdr:cNvSpPr/>
      </xdr:nvSpPr>
      <xdr:spPr>
        <a:xfrm>
          <a:off x="8486775" y="95249"/>
          <a:ext cx="4105275" cy="40671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a:t>
          </a:r>
          <a:r>
            <a:rPr lang="en-US" sz="1100"/>
            <a:t>: </a:t>
          </a:r>
          <a:r>
            <a:rPr lang="en-US" sz="1200"/>
            <a:t>Regional</a:t>
          </a:r>
          <a:r>
            <a:rPr lang="en-US" sz="1200" baseline="0"/>
            <a:t> Performance</a:t>
          </a:r>
          <a:endParaRPr lang="en-US" sz="1100"/>
        </a:p>
        <a:p>
          <a:pPr algn="l"/>
          <a:endParaRPr lang="en-US" sz="1100"/>
        </a:p>
        <a:p>
          <a:pPr algn="l"/>
          <a:r>
            <a:rPr lang="en-US" sz="1100" b="1"/>
            <a:t>OBSERVATION:</a:t>
          </a:r>
          <a:r>
            <a:rPr lang="en-US" sz="1100" baseline="0"/>
            <a:t> The West region with $91,252 has the lowest turnout of the sum of revenue amongst the other regions, followed by the South region with $93, 858 sum of revenue, followed by the East region with $108,276 sum of revenue, then followed by the North region with 141,680 sum of revenue.</a:t>
          </a:r>
        </a:p>
        <a:p>
          <a:pPr algn="l"/>
          <a:r>
            <a:rPr lang="en-US" sz="1100" baseline="0"/>
            <a:t>2. The North region has the highest sum of revenue of $141,680, while the West region has the lowest sum of revenue of $91,252.</a:t>
          </a:r>
        </a:p>
        <a:p>
          <a:pPr algn="l"/>
          <a:endParaRPr lang="en-US" sz="1200" baseline="0"/>
        </a:p>
        <a:p>
          <a:pPr algn="l"/>
          <a:r>
            <a:rPr lang="en-US" sz="1200" b="1" baseline="0"/>
            <a:t>PRE-INSIGHT</a:t>
          </a:r>
          <a:r>
            <a:rPr lang="en-US" sz="1200" b="0" baseline="0"/>
            <a:t>: 1. A thorough investigation should be made into the west region inorder to check out for deficiencies that might be causing low turnout of revenue, like bad salespersons behaviours, customers preference, environmental factors and the likes.</a:t>
          </a:r>
        </a:p>
        <a:p>
          <a:pPr algn="l"/>
          <a:r>
            <a:rPr lang="en-US" sz="1200" b="0" baseline="0"/>
            <a:t>2. Implementation of formulations or policies used in the North region should be introduced to the west region.</a:t>
          </a:r>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9525</xdr:colOff>
      <xdr:row>1</xdr:row>
      <xdr:rowOff>157162</xdr:rowOff>
    </xdr:from>
    <xdr:to>
      <xdr:col>9</xdr:col>
      <xdr:colOff>95250</xdr:colOff>
      <xdr:row>16</xdr:row>
      <xdr:rowOff>42862</xdr:rowOff>
    </xdr:to>
    <xdr:graphicFrame macro="">
      <xdr:nvGraphicFramePr>
        <xdr:cNvPr id="3" name="Chart 2">
          <a:extLst>
            <a:ext uri="{FF2B5EF4-FFF2-40B4-BE49-F238E27FC236}">
              <a16:creationId xmlns:a16="http://schemas.microsoft.com/office/drawing/2014/main" id="{D3034B0F-E39D-3222-43AE-D98CAF5F4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4</xdr:row>
      <xdr:rowOff>33337</xdr:rowOff>
    </xdr:from>
    <xdr:to>
      <xdr:col>10</xdr:col>
      <xdr:colOff>209550</xdr:colOff>
      <xdr:row>18</xdr:row>
      <xdr:rowOff>109537</xdr:rowOff>
    </xdr:to>
    <xdr:graphicFrame macro="">
      <xdr:nvGraphicFramePr>
        <xdr:cNvPr id="2" name="Chart 1">
          <a:extLst>
            <a:ext uri="{FF2B5EF4-FFF2-40B4-BE49-F238E27FC236}">
              <a16:creationId xmlns:a16="http://schemas.microsoft.com/office/drawing/2014/main" id="{E00162E0-AD3B-2807-170B-CBCE9CF75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238125</xdr:colOff>
      <xdr:row>6</xdr:row>
      <xdr:rowOff>33337</xdr:rowOff>
    </xdr:from>
    <xdr:to>
      <xdr:col>9</xdr:col>
      <xdr:colOff>542925</xdr:colOff>
      <xdr:row>20</xdr:row>
      <xdr:rowOff>109537</xdr:rowOff>
    </xdr:to>
    <xdr:graphicFrame macro="">
      <xdr:nvGraphicFramePr>
        <xdr:cNvPr id="3" name="Chart 2">
          <a:extLst>
            <a:ext uri="{FF2B5EF4-FFF2-40B4-BE49-F238E27FC236}">
              <a16:creationId xmlns:a16="http://schemas.microsoft.com/office/drawing/2014/main" id="{1A8A42FC-3B13-5789-6B42-29A7466C5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109537</xdr:colOff>
      <xdr:row>4</xdr:row>
      <xdr:rowOff>33336</xdr:rowOff>
    </xdr:from>
    <xdr:to>
      <xdr:col>11</xdr:col>
      <xdr:colOff>238125</xdr:colOff>
      <xdr:row>20</xdr:row>
      <xdr:rowOff>76199</xdr:rowOff>
    </xdr:to>
    <xdr:graphicFrame macro="">
      <xdr:nvGraphicFramePr>
        <xdr:cNvPr id="2" name="Chart 1">
          <a:extLst>
            <a:ext uri="{FF2B5EF4-FFF2-40B4-BE49-F238E27FC236}">
              <a16:creationId xmlns:a16="http://schemas.microsoft.com/office/drawing/2014/main" id="{92AA64A9-14FD-E241-37C3-44BC91701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409573</xdr:colOff>
      <xdr:row>3</xdr:row>
      <xdr:rowOff>147637</xdr:rowOff>
    </xdr:from>
    <xdr:to>
      <xdr:col>14</xdr:col>
      <xdr:colOff>47624</xdr:colOff>
      <xdr:row>18</xdr:row>
      <xdr:rowOff>33337</xdr:rowOff>
    </xdr:to>
    <xdr:graphicFrame macro="">
      <xdr:nvGraphicFramePr>
        <xdr:cNvPr id="3" name="Chart 2">
          <a:extLst>
            <a:ext uri="{FF2B5EF4-FFF2-40B4-BE49-F238E27FC236}">
              <a16:creationId xmlns:a16="http://schemas.microsoft.com/office/drawing/2014/main" id="{B44F7B91-58DD-A681-DBDC-CAF43EFDC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123824</xdr:colOff>
      <xdr:row>3</xdr:row>
      <xdr:rowOff>147637</xdr:rowOff>
    </xdr:from>
    <xdr:to>
      <xdr:col>11</xdr:col>
      <xdr:colOff>361949</xdr:colOff>
      <xdr:row>18</xdr:row>
      <xdr:rowOff>33337</xdr:rowOff>
    </xdr:to>
    <xdr:graphicFrame macro="">
      <xdr:nvGraphicFramePr>
        <xdr:cNvPr id="2" name="Chart 1">
          <a:extLst>
            <a:ext uri="{FF2B5EF4-FFF2-40B4-BE49-F238E27FC236}">
              <a16:creationId xmlns:a16="http://schemas.microsoft.com/office/drawing/2014/main" id="{F8703572-AE02-8649-8431-5587F3AAE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9</xdr:col>
      <xdr:colOff>219075</xdr:colOff>
      <xdr:row>19</xdr:row>
      <xdr:rowOff>142876</xdr:rowOff>
    </xdr:to>
    <xdr:sp macro="" textlink="">
      <xdr:nvSpPr>
        <xdr:cNvPr id="3" name="Rectangle: Rounded Corners 2">
          <a:extLst>
            <a:ext uri="{FF2B5EF4-FFF2-40B4-BE49-F238E27FC236}">
              <a16:creationId xmlns:a16="http://schemas.microsoft.com/office/drawing/2014/main" id="{8D4650A0-61CB-47F5-B1DC-3A9FEB6A7E59}"/>
            </a:ext>
          </a:extLst>
        </xdr:cNvPr>
        <xdr:cNvSpPr/>
      </xdr:nvSpPr>
      <xdr:spPr>
        <a:xfrm>
          <a:off x="0" y="190500"/>
          <a:ext cx="5705475" cy="35718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Sales Trend Report.</a:t>
          </a:r>
        </a:p>
        <a:p>
          <a:pPr algn="l"/>
          <a:endParaRPr lang="en-US" sz="1100" b="1"/>
        </a:p>
        <a:p>
          <a:pPr algn="l"/>
          <a:r>
            <a:rPr lang="en-US" sz="1100" b="1"/>
            <a:t>OBSERVATION:</a:t>
          </a:r>
          <a:r>
            <a:rPr lang="en-US" sz="1100" b="1" baseline="0"/>
            <a:t> </a:t>
          </a:r>
          <a:r>
            <a:rPr lang="en-US" sz="1000" b="1" baseline="0"/>
            <a:t>December has the peak sum of revenue of $66,642.78, while February has  the lowest sum of revenue of $19, 985.50. July, August and September has slightest difference in sales with $27,318.54, $29,921.46, and $31,949.97 respectively. There is a huge dropdown of revenue in the month of June with $55,601.61 to $27,318.54 in the month of July.</a:t>
          </a:r>
        </a:p>
        <a:p>
          <a:pPr algn="l"/>
          <a:endParaRPr lang="en-US" sz="1100" b="1" baseline="0"/>
        </a:p>
        <a:p>
          <a:pPr algn="l"/>
          <a:r>
            <a:rPr lang="en-US" sz="1100" b="1" baseline="0"/>
            <a:t>PRE INSIGHT</a:t>
          </a:r>
          <a:r>
            <a:rPr lang="en-US" sz="1000" b="1" baseline="0"/>
            <a:t>: Implement an inventory to check the factors responsible for the huge decline of revenue in the month of June to July and ensure to eliminate as soon as possible by informing the marketing team. </a:t>
          </a:r>
          <a:endParaRPr lang="en-US" sz="1200" b="1" baseline="0"/>
        </a:p>
        <a:p>
          <a:pPr algn="l"/>
          <a:endParaRPr lang="en-US" sz="1200" b="1" baseline="0"/>
        </a:p>
        <a:p>
          <a:pPr algn="l"/>
          <a:r>
            <a:rPr lang="en-US" sz="1000" b="1" baseline="0"/>
            <a:t>Finetune out the workflow engaged in the month of december that helps with the generation of the highest revenue for the year, and implement the same workflow to ensure consistency of generating more revenue. This can also be implemented inthe month of February to improve efficiency.</a:t>
          </a:r>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r>
            <a:rPr lang="en-US" sz="1100" baseline="0"/>
            <a:t>PRE INSIGHT: </a:t>
          </a:r>
          <a:endParaRPr lang="en-US" sz="1100"/>
        </a:p>
      </xdr:txBody>
    </xdr:sp>
    <xdr:clientData/>
  </xdr:twoCellAnchor>
  <xdr:twoCellAnchor>
    <xdr:from>
      <xdr:col>3</xdr:col>
      <xdr:colOff>542925</xdr:colOff>
      <xdr:row>20</xdr:row>
      <xdr:rowOff>38100</xdr:rowOff>
    </xdr:from>
    <xdr:to>
      <xdr:col>16</xdr:col>
      <xdr:colOff>381001</xdr:colOff>
      <xdr:row>33</xdr:row>
      <xdr:rowOff>0</xdr:rowOff>
    </xdr:to>
    <xdr:sp macro="" textlink="">
      <xdr:nvSpPr>
        <xdr:cNvPr id="9" name="Rectangle: Rounded Corners 8">
          <a:extLst>
            <a:ext uri="{FF2B5EF4-FFF2-40B4-BE49-F238E27FC236}">
              <a16:creationId xmlns:a16="http://schemas.microsoft.com/office/drawing/2014/main" id="{D2B9C00D-3CAD-472C-85C9-429D7CBDB7AF}"/>
            </a:ext>
          </a:extLst>
        </xdr:cNvPr>
        <xdr:cNvSpPr/>
      </xdr:nvSpPr>
      <xdr:spPr>
        <a:xfrm>
          <a:off x="2371725" y="3848100"/>
          <a:ext cx="7762876" cy="2438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ANALYSIS: Sales by Product category</a:t>
          </a:r>
        </a:p>
        <a:p>
          <a:pPr algn="l"/>
          <a:endParaRPr lang="en-US" sz="1100" b="1">
            <a:solidFill>
              <a:sysClr val="windowText" lastClr="000000"/>
            </a:solidFill>
          </a:endParaRPr>
        </a:p>
        <a:p>
          <a:pPr algn="l"/>
          <a:r>
            <a:rPr lang="en-US" sz="1100" b="1">
              <a:solidFill>
                <a:sysClr val="windowText" lastClr="000000"/>
              </a:solidFill>
            </a:rPr>
            <a:t>OBSERVATION:</a:t>
          </a:r>
          <a:r>
            <a:rPr lang="en-US" sz="1100" b="1" baseline="0">
              <a:solidFill>
                <a:sysClr val="windowText" lastClr="000000"/>
              </a:solidFill>
            </a:rPr>
            <a:t> </a:t>
          </a:r>
          <a:r>
            <a:rPr lang="en-US" sz="1050" b="1" baseline="0">
              <a:solidFill>
                <a:sysClr val="windowText" lastClr="000000"/>
              </a:solidFill>
            </a:rPr>
            <a:t>Beverages top the highest product generating the sum of revenue with $110,577.11,followed by sauces generating the sum of revenue with $69,000.00, followed by jam preserves generating the sum of revenue with $51,541.00, followed by dairy product generating the sum of revenue with $33,129.60, followed by dried fruits and nuts generating the sum of revenue with $27,999.50, followed by canned meat generating $25,465.60. Canned meat happens to be the product generating the lowest sum of revenue of $25,465.60.</a:t>
          </a:r>
        </a:p>
        <a:p>
          <a:pPr algn="l"/>
          <a:endParaRPr lang="en-US" sz="1100" b="1" baseline="0">
            <a:solidFill>
              <a:sysClr val="windowText" lastClr="000000"/>
            </a:solidFill>
          </a:endParaRPr>
        </a:p>
        <a:p>
          <a:pPr algn="l"/>
          <a:r>
            <a:rPr lang="en-US" sz="1100" b="1" baseline="0">
              <a:solidFill>
                <a:sysClr val="windowText" lastClr="000000"/>
              </a:solidFill>
            </a:rPr>
            <a:t>PRE INSIGHT</a:t>
          </a:r>
          <a:r>
            <a:rPr lang="en-US" sz="900" b="1" baseline="0">
              <a:solidFill>
                <a:sysClr val="windowText" lastClr="000000"/>
              </a:solidFill>
            </a:rPr>
            <a:t>: </a:t>
          </a:r>
          <a:r>
            <a:rPr lang="en-US" sz="1000" b="1" baseline="0">
              <a:solidFill>
                <a:sysClr val="windowText" lastClr="000000"/>
              </a:solidFill>
            </a:rPr>
            <a:t>Finetune out the reason why canned meat is not been purchased by  customers leading to low turn out of revenue generated, a thorough investigation should also be taken to check the demographics of customers purchasing this particular products and proper action should be taken by informing the production and marketing team of the firm. More beverages should be produced more to  ensure the continuity of more revenue to the firm.</a:t>
          </a:r>
        </a:p>
        <a:p>
          <a:pPr algn="l"/>
          <a:endParaRPr lang="en-US" sz="12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r>
            <a:rPr lang="en-US" sz="1100" baseline="0"/>
            <a:t> </a:t>
          </a:r>
          <a:endParaRPr lang="en-US" sz="1100"/>
        </a:p>
      </xdr:txBody>
    </xdr:sp>
    <xdr:clientData/>
  </xdr:twoCellAnchor>
  <xdr:twoCellAnchor>
    <xdr:from>
      <xdr:col>9</xdr:col>
      <xdr:colOff>457200</xdr:colOff>
      <xdr:row>0</xdr:row>
      <xdr:rowOff>142875</xdr:rowOff>
    </xdr:from>
    <xdr:to>
      <xdr:col>19</xdr:col>
      <xdr:colOff>438151</xdr:colOff>
      <xdr:row>19</xdr:row>
      <xdr:rowOff>142876</xdr:rowOff>
    </xdr:to>
    <xdr:sp macro="" textlink="">
      <xdr:nvSpPr>
        <xdr:cNvPr id="11" name="Rectangle: Rounded Corners 10">
          <a:extLst>
            <a:ext uri="{FF2B5EF4-FFF2-40B4-BE49-F238E27FC236}">
              <a16:creationId xmlns:a16="http://schemas.microsoft.com/office/drawing/2014/main" id="{5CE9D59F-D41A-4FA5-9BFC-0E9D3C11AA11}"/>
            </a:ext>
          </a:extLst>
        </xdr:cNvPr>
        <xdr:cNvSpPr/>
      </xdr:nvSpPr>
      <xdr:spPr>
        <a:xfrm>
          <a:off x="5943600" y="142875"/>
          <a:ext cx="6076951" cy="36195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Transaction by Amount.</a:t>
          </a:r>
        </a:p>
        <a:p>
          <a:pPr algn="l"/>
          <a:endParaRPr lang="en-US" sz="1100" b="1"/>
        </a:p>
        <a:p>
          <a:pPr algn="l"/>
          <a:r>
            <a:rPr lang="en-US" sz="1100" b="1"/>
            <a:t>OBSERVATION:</a:t>
          </a:r>
          <a:r>
            <a:rPr lang="en-US" sz="1100" b="1" baseline="0"/>
            <a:t> </a:t>
          </a:r>
          <a:r>
            <a:rPr lang="en-US" sz="1000" b="1" baseline="0"/>
            <a:t>The revenue generated within the range $10-$1010 has a count of 221 revenue purchased, which is the highest of count of revenue, followed by the revenue range within $1010-$2010 with 82 count of revenue, followed by the revenue range within $2010-$3010 with 32 count of revenue, followed by the revenue range  within $3010-$4010 with 23 count of revenue, followed by the revenue range within $4010-5010 with 8 count of revenue, followed by the revenue range within $6010-$7010 with 2 count of revenue, followed by the revenue within the range $7010-$8010 with 1 count of revenue.</a:t>
          </a:r>
        </a:p>
        <a:p>
          <a:pPr algn="l"/>
          <a:endParaRPr lang="en-US" sz="1000" b="1" baseline="0"/>
        </a:p>
        <a:p>
          <a:pPr algn="l"/>
          <a:r>
            <a:rPr lang="en-US" sz="1000" b="1" baseline="0"/>
            <a:t>The revenue range between $7010-$8010 having only 1 count of revenue happens to be the lowest count of revenue generated.</a:t>
          </a:r>
        </a:p>
        <a:p>
          <a:pPr algn="l"/>
          <a:endParaRPr lang="en-US" sz="1100" b="1" baseline="0"/>
        </a:p>
        <a:p>
          <a:pPr algn="l"/>
          <a:r>
            <a:rPr lang="en-US" sz="1100" b="1" baseline="0"/>
            <a:t>PRE INSIGHT</a:t>
          </a:r>
          <a:r>
            <a:rPr lang="en-US" sz="900" b="1" baseline="0"/>
            <a:t>: </a:t>
          </a:r>
          <a:r>
            <a:rPr lang="en-US" sz="1000" b="1" baseline="0"/>
            <a:t>Finetune out why the revenue generated within the range $10-$1010 has  the highest count of revenue purchased by looking  at the most sold products, the season it was purchased, the region and the likes to gain more strategics in ensuring the flow of revenue and to gain more ground against competitors</a:t>
          </a:r>
          <a:r>
            <a:rPr lang="en-US" sz="900" b="1" baseline="0"/>
            <a:t>.</a:t>
          </a:r>
        </a:p>
        <a:p>
          <a:pPr algn="l"/>
          <a:r>
            <a:rPr lang="en-US" sz="900" b="1" baseline="0"/>
            <a:t>A thorough investigation should carried out in the revenue within the range  $7010-$8010  to finetune out the products causing a very low turnout  of count of revenue , and ensure such products are putted on bonus sales in the firm for quick purchased by the customers.</a:t>
          </a:r>
        </a:p>
        <a:p>
          <a:pPr algn="l"/>
          <a:endParaRPr lang="en-US" sz="9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409574</xdr:colOff>
      <xdr:row>3</xdr:row>
      <xdr:rowOff>147637</xdr:rowOff>
    </xdr:from>
    <xdr:to>
      <xdr:col>11</xdr:col>
      <xdr:colOff>190499</xdr:colOff>
      <xdr:row>19</xdr:row>
      <xdr:rowOff>28575</xdr:rowOff>
    </xdr:to>
    <xdr:graphicFrame macro="">
      <xdr:nvGraphicFramePr>
        <xdr:cNvPr id="3" name="Chart 2">
          <a:extLst>
            <a:ext uri="{FF2B5EF4-FFF2-40B4-BE49-F238E27FC236}">
              <a16:creationId xmlns:a16="http://schemas.microsoft.com/office/drawing/2014/main" id="{78729A58-47F0-6FF9-881B-C70BFA8DC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123824</xdr:colOff>
      <xdr:row>3</xdr:row>
      <xdr:rowOff>147637</xdr:rowOff>
    </xdr:from>
    <xdr:to>
      <xdr:col>11</xdr:col>
      <xdr:colOff>419099</xdr:colOff>
      <xdr:row>18</xdr:row>
      <xdr:rowOff>33337</xdr:rowOff>
    </xdr:to>
    <xdr:graphicFrame macro="">
      <xdr:nvGraphicFramePr>
        <xdr:cNvPr id="2" name="Chart 1">
          <a:extLst>
            <a:ext uri="{FF2B5EF4-FFF2-40B4-BE49-F238E27FC236}">
              <a16:creationId xmlns:a16="http://schemas.microsoft.com/office/drawing/2014/main" id="{8DEDEFE0-356D-B305-6075-EAE2D22BB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114299</xdr:colOff>
      <xdr:row>2</xdr:row>
      <xdr:rowOff>33337</xdr:rowOff>
    </xdr:from>
    <xdr:to>
      <xdr:col>16</xdr:col>
      <xdr:colOff>161925</xdr:colOff>
      <xdr:row>18</xdr:row>
      <xdr:rowOff>47625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91BD0E8-6E3B-BA2E-0C51-8F543E2758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76849" y="414337"/>
              <a:ext cx="6143626" cy="30622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152399</xdr:colOff>
      <xdr:row>3</xdr:row>
      <xdr:rowOff>147637</xdr:rowOff>
    </xdr:from>
    <xdr:to>
      <xdr:col>12</xdr:col>
      <xdr:colOff>514350</xdr:colOff>
      <xdr:row>18</xdr:row>
      <xdr:rowOff>33337</xdr:rowOff>
    </xdr:to>
    <xdr:graphicFrame macro="">
      <xdr:nvGraphicFramePr>
        <xdr:cNvPr id="2" name="Chart 1">
          <a:extLst>
            <a:ext uri="{FF2B5EF4-FFF2-40B4-BE49-F238E27FC236}">
              <a16:creationId xmlns:a16="http://schemas.microsoft.com/office/drawing/2014/main" id="{847847F4-7403-368F-6695-9EA3BCBC2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114300</xdr:colOff>
      <xdr:row>1</xdr:row>
      <xdr:rowOff>0</xdr:rowOff>
    </xdr:from>
    <xdr:to>
      <xdr:col>9</xdr:col>
      <xdr:colOff>333375</xdr:colOff>
      <xdr:row>19</xdr:row>
      <xdr:rowOff>9526</xdr:rowOff>
    </xdr:to>
    <xdr:sp macro="" textlink="">
      <xdr:nvSpPr>
        <xdr:cNvPr id="3" name="Rectangle: Rounded Corners 2">
          <a:extLst>
            <a:ext uri="{FF2B5EF4-FFF2-40B4-BE49-F238E27FC236}">
              <a16:creationId xmlns:a16="http://schemas.microsoft.com/office/drawing/2014/main" id="{1C4F7262-7D4C-4585-B5C5-3A8A1506BDFD}"/>
            </a:ext>
          </a:extLst>
        </xdr:cNvPr>
        <xdr:cNvSpPr/>
      </xdr:nvSpPr>
      <xdr:spPr>
        <a:xfrm>
          <a:off x="114300" y="190500"/>
          <a:ext cx="5705475" cy="343852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Performance</a:t>
          </a:r>
          <a:r>
            <a:rPr lang="en-US" sz="1100" b="1" baseline="0"/>
            <a:t> By State</a:t>
          </a:r>
          <a:endParaRPr lang="en-US" sz="1100" b="1"/>
        </a:p>
        <a:p>
          <a:pPr algn="l"/>
          <a:endParaRPr lang="en-US" sz="1100" b="1"/>
        </a:p>
        <a:p>
          <a:pPr algn="l"/>
          <a:endParaRPr lang="en-US" sz="1100" b="1"/>
        </a:p>
        <a:p>
          <a:pPr algn="l"/>
          <a:r>
            <a:rPr lang="en-US" sz="1100" b="1"/>
            <a:t>OBSERVATION: The top three states with the highest revenue happens to be;</a:t>
          </a:r>
          <a:r>
            <a:rPr lang="en-US" sz="1100" b="1" baseline="0"/>
            <a:t> </a:t>
          </a:r>
          <a:r>
            <a:rPr lang="en-US" sz="1100" b="1"/>
            <a:t>New</a:t>
          </a:r>
          <a:r>
            <a:rPr lang="en-US" sz="1100" b="1" baseline="0"/>
            <a:t> York with the peak level  of performance by state with the sum of revenue generating $67,180.50, followed by Oregon with the sum of revenue generating $50,208.35, followed by Florida with the  sum of revenue generating $50,145.33. There is a huge difference betweeen New York generating the  sum of revenue $67,180.50 and Nevana generating the sum of  revenue $15,365.50.</a:t>
          </a:r>
          <a:endParaRPr lang="en-US" sz="1100" b="1"/>
        </a:p>
        <a:p>
          <a:pPr algn="l"/>
          <a:endParaRPr lang="en-US" sz="1100" b="1" baseline="0"/>
        </a:p>
        <a:p>
          <a:pPr algn="l"/>
          <a:endParaRPr lang="en-US" sz="1100" b="1" baseline="0"/>
        </a:p>
        <a:p>
          <a:pPr algn="l"/>
          <a:r>
            <a:rPr lang="en-US" sz="1100" b="1" baseline="0"/>
            <a:t> PRE INSIGHT</a:t>
          </a:r>
          <a:r>
            <a:rPr lang="en-US" sz="1000" b="1" baseline="0"/>
            <a:t>: </a:t>
          </a:r>
          <a:r>
            <a:rPr lang="en-US" sz="1100" b="1" baseline="0"/>
            <a:t>The huge difference gap of revenue between New York and Nevana should be investigated and potential factors that results in the  low generation of revenue in Nevana should be eliminated such as bad product packaging, Inefficiencies of customer preferences and the likes.</a:t>
          </a:r>
        </a:p>
        <a:p>
          <a:pPr algn="l"/>
          <a:r>
            <a:rPr lang="en-US" sz="1100" b="1" baseline="0"/>
            <a:t>There is similarity between the revenue generated in Oregon and Florida, showing similar work  flow and efficiency.</a:t>
          </a:r>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xdr:txBody>
    </xdr:sp>
    <xdr:clientData/>
  </xdr:twoCellAnchor>
  <xdr:twoCellAnchor>
    <xdr:from>
      <xdr:col>9</xdr:col>
      <xdr:colOff>381000</xdr:colOff>
      <xdr:row>1</xdr:row>
      <xdr:rowOff>19049</xdr:rowOff>
    </xdr:from>
    <xdr:to>
      <xdr:col>19</xdr:col>
      <xdr:colOff>361951</xdr:colOff>
      <xdr:row>18</xdr:row>
      <xdr:rowOff>142874</xdr:rowOff>
    </xdr:to>
    <xdr:sp macro="" textlink="">
      <xdr:nvSpPr>
        <xdr:cNvPr id="5" name="Rectangle: Rounded Corners 4">
          <a:extLst>
            <a:ext uri="{FF2B5EF4-FFF2-40B4-BE49-F238E27FC236}">
              <a16:creationId xmlns:a16="http://schemas.microsoft.com/office/drawing/2014/main" id="{3341CFCF-3D54-4072-A931-4F77EF28914C}"/>
            </a:ext>
          </a:extLst>
        </xdr:cNvPr>
        <xdr:cNvSpPr/>
      </xdr:nvSpPr>
      <xdr:spPr>
        <a:xfrm>
          <a:off x="5867400" y="209549"/>
          <a:ext cx="6076951" cy="33623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ANALYSIS: Top Five Cities By Revenue</a:t>
          </a:r>
        </a:p>
        <a:p>
          <a:pPr algn="l"/>
          <a:endParaRPr lang="en-US" sz="1100" b="1">
            <a:solidFill>
              <a:schemeClr val="bg1"/>
            </a:solidFill>
          </a:endParaRPr>
        </a:p>
        <a:p>
          <a:pPr algn="l"/>
          <a:r>
            <a:rPr lang="en-US" sz="1100" b="1">
              <a:solidFill>
                <a:schemeClr val="bg1"/>
              </a:solidFill>
            </a:rPr>
            <a:t>OBSERVATION:</a:t>
          </a:r>
          <a:r>
            <a:rPr lang="en-US" sz="1100" b="1" baseline="0">
              <a:solidFill>
                <a:schemeClr val="bg1"/>
              </a:solidFill>
            </a:rPr>
            <a:t> The City of Chicago has the least amount of the sum of revenue generating $41,095.01 while New York city has the highest amount of the sum of revenue amidst the five top cities by revenue generating $67,180.50. There is a slight difference of revenue  generated between Portal and Miami city generating the sum of revenue $50,208.35 and $50,145.33 respectively. </a:t>
          </a:r>
          <a:endParaRPr lang="en-US" sz="1000" b="1" baseline="0">
            <a:solidFill>
              <a:schemeClr val="bg1"/>
            </a:solidFill>
          </a:endParaRPr>
        </a:p>
        <a:p>
          <a:pPr algn="l"/>
          <a:endParaRPr lang="en-US" sz="1100" b="1" baseline="0">
            <a:solidFill>
              <a:schemeClr val="bg1"/>
            </a:solidFill>
          </a:endParaRPr>
        </a:p>
        <a:p>
          <a:pPr algn="l"/>
          <a:r>
            <a:rPr lang="en-US" sz="1100" b="1" baseline="0">
              <a:solidFill>
                <a:schemeClr val="bg1"/>
              </a:solidFill>
            </a:rPr>
            <a:t>PRE INSIGHT: Finetune out the strategies implemented in the city of New York and introduced it to the city of Chicago in order to  generate more revenue and improve their productivity against compettitor. A thorough investigation should be taken in the city of Chicago, factors such as the period of marketing of their products, the ship conditions, the sales of products that is not mostly purchased by customers and the likes</a:t>
          </a:r>
          <a:endParaRPr lang="en-US" sz="1100" baseline="0">
            <a:solidFill>
              <a:schemeClr val="bg1"/>
            </a:solidFill>
          </a:endParaRPr>
        </a:p>
        <a:p>
          <a:pPr algn="l"/>
          <a:endParaRPr lang="en-US" sz="16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a:p>
      </xdr:txBody>
    </xdr:sp>
    <xdr:clientData/>
  </xdr:twoCellAnchor>
  <xdr:twoCellAnchor>
    <xdr:from>
      <xdr:col>0</xdr:col>
      <xdr:colOff>200025</xdr:colOff>
      <xdr:row>19</xdr:row>
      <xdr:rowOff>152400</xdr:rowOff>
    </xdr:from>
    <xdr:to>
      <xdr:col>9</xdr:col>
      <xdr:colOff>419100</xdr:colOff>
      <xdr:row>34</xdr:row>
      <xdr:rowOff>114301</xdr:rowOff>
    </xdr:to>
    <xdr:sp macro="" textlink="">
      <xdr:nvSpPr>
        <xdr:cNvPr id="7" name="Rectangle: Rounded Corners 6">
          <a:extLst>
            <a:ext uri="{FF2B5EF4-FFF2-40B4-BE49-F238E27FC236}">
              <a16:creationId xmlns:a16="http://schemas.microsoft.com/office/drawing/2014/main" id="{A0597F05-3885-44B0-AC22-B8B0203E9156}"/>
            </a:ext>
          </a:extLst>
        </xdr:cNvPr>
        <xdr:cNvSpPr/>
      </xdr:nvSpPr>
      <xdr:spPr>
        <a:xfrm>
          <a:off x="200025" y="3771900"/>
          <a:ext cx="5705475" cy="28194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ANALYSIS: Top</a:t>
          </a:r>
          <a:r>
            <a:rPr lang="en-US" sz="1100" b="1" baseline="0"/>
            <a:t> Six Ship City</a:t>
          </a:r>
          <a:endParaRPr lang="en-US" sz="1100" b="1"/>
        </a:p>
        <a:p>
          <a:pPr algn="l"/>
          <a:endParaRPr lang="en-US" sz="1100" b="1"/>
        </a:p>
        <a:p>
          <a:pPr algn="l"/>
          <a:r>
            <a:rPr lang="en-US" sz="1100" b="1"/>
            <a:t>OBSERVATION: New York leads</a:t>
          </a:r>
          <a:r>
            <a:rPr lang="en-US" sz="1100" b="1" baseline="0"/>
            <a:t> significantly with $67,180.50 in revenue. Memphis and Chicago generate lower revenues of $43,713.00 and $41,095.01.  Portland and Miami follows closely with  very smilar revenues of $50,208.35 and $50,145.33 respectively. </a:t>
          </a:r>
          <a:endParaRPr lang="en-US" sz="1100" b="1"/>
        </a:p>
        <a:p>
          <a:pPr algn="l"/>
          <a:endParaRPr lang="en-US" sz="1100" b="1"/>
        </a:p>
        <a:p>
          <a:pPr algn="l"/>
          <a:r>
            <a:rPr lang="en-US" sz="1100" b="1"/>
            <a:t> </a:t>
          </a:r>
          <a:endParaRPr lang="en-US" sz="1100" b="1" baseline="0"/>
        </a:p>
        <a:p>
          <a:pPr algn="l"/>
          <a:r>
            <a:rPr lang="en-US" sz="1100" b="1" baseline="0"/>
            <a:t> PRE INSIGHT</a:t>
          </a:r>
          <a:r>
            <a:rPr lang="en-US" sz="1000" b="1" baseline="0"/>
            <a:t>: </a:t>
          </a:r>
          <a:r>
            <a:rPr lang="en-US" sz="1100" b="1" baseline="0"/>
            <a:t>New York is a clear standout, generating over 20% more revenue than the next highest state (Portland). This suggest it might be a target market worth deeper exploration for growth. The close revenue values between Portland and miami may indicate similar market potential. The gradual decline in revenue from mempis to milwaukee may reflect reduced order frequency or smaller customers bases</a:t>
          </a:r>
          <a:r>
            <a:rPr lang="en-US" sz="1000" b="1" baseline="0"/>
            <a:t>.</a:t>
          </a:r>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a:p>
          <a:pPr algn="l"/>
          <a:endParaRPr lang="en-US" sz="1100" baseline="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71436</xdr:colOff>
      <xdr:row>0</xdr:row>
      <xdr:rowOff>71437</xdr:rowOff>
    </xdr:from>
    <xdr:to>
      <xdr:col>51</xdr:col>
      <xdr:colOff>47625</xdr:colOff>
      <xdr:row>3</xdr:row>
      <xdr:rowOff>23813</xdr:rowOff>
    </xdr:to>
    <xdr:sp macro="" textlink="">
      <xdr:nvSpPr>
        <xdr:cNvPr id="2" name="Rectangle: Rounded Corners 1">
          <a:extLst>
            <a:ext uri="{FF2B5EF4-FFF2-40B4-BE49-F238E27FC236}">
              <a16:creationId xmlns:a16="http://schemas.microsoft.com/office/drawing/2014/main" id="{99194229-3B29-F8E5-BADD-89D30BF1145C}"/>
            </a:ext>
          </a:extLst>
        </xdr:cNvPr>
        <xdr:cNvSpPr/>
      </xdr:nvSpPr>
      <xdr:spPr>
        <a:xfrm>
          <a:off x="71436" y="71437"/>
          <a:ext cx="31551564" cy="52387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tx1"/>
              </a:solidFill>
              <a:latin typeface="Garamond" panose="02020404030301010803" pitchFamily="18" charset="0"/>
            </a:rPr>
            <a:t>FLUTTERCO GROUP OF COMPANIES' SALES REPORT FOR THE  YEAR 3034</a:t>
          </a:r>
        </a:p>
      </xdr:txBody>
    </xdr:sp>
    <xdr:clientData/>
  </xdr:twoCellAnchor>
  <xdr:twoCellAnchor>
    <xdr:from>
      <xdr:col>29</xdr:col>
      <xdr:colOff>333375</xdr:colOff>
      <xdr:row>28</xdr:row>
      <xdr:rowOff>23812</xdr:rowOff>
    </xdr:from>
    <xdr:to>
      <xdr:col>45</xdr:col>
      <xdr:colOff>238125</xdr:colOff>
      <xdr:row>46</xdr:row>
      <xdr:rowOff>166685</xdr:rowOff>
    </xdr:to>
    <xdr:graphicFrame macro="">
      <xdr:nvGraphicFramePr>
        <xdr:cNvPr id="10" name="Chart 9">
          <a:extLst>
            <a:ext uri="{FF2B5EF4-FFF2-40B4-BE49-F238E27FC236}">
              <a16:creationId xmlns:a16="http://schemas.microsoft.com/office/drawing/2014/main" id="{15D58A8B-04E2-48B8-A7FC-AE248249A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47</xdr:row>
      <xdr:rowOff>71438</xdr:rowOff>
    </xdr:from>
    <xdr:to>
      <xdr:col>10</xdr:col>
      <xdr:colOff>361951</xdr:colOff>
      <xdr:row>68</xdr:row>
      <xdr:rowOff>23812</xdr:rowOff>
    </xdr:to>
    <xdr:graphicFrame macro="">
      <xdr:nvGraphicFramePr>
        <xdr:cNvPr id="12" name="Chart 11">
          <a:extLst>
            <a:ext uri="{FF2B5EF4-FFF2-40B4-BE49-F238E27FC236}">
              <a16:creationId xmlns:a16="http://schemas.microsoft.com/office/drawing/2014/main" id="{7087A49F-FC3B-41E7-997B-FD9CE924F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428625</xdr:colOff>
      <xdr:row>47</xdr:row>
      <xdr:rowOff>19050</xdr:rowOff>
    </xdr:from>
    <xdr:to>
      <xdr:col>21</xdr:col>
      <xdr:colOff>285750</xdr:colOff>
      <xdr:row>68</xdr:row>
      <xdr:rowOff>47625</xdr:rowOff>
    </xdr:to>
    <xdr:graphicFrame macro="">
      <xdr:nvGraphicFramePr>
        <xdr:cNvPr id="16" name="Chart 15">
          <a:extLst>
            <a:ext uri="{FF2B5EF4-FFF2-40B4-BE49-F238E27FC236}">
              <a16:creationId xmlns:a16="http://schemas.microsoft.com/office/drawing/2014/main" id="{2EC82864-1173-44DE-839B-A5D615B6D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380999</xdr:colOff>
      <xdr:row>47</xdr:row>
      <xdr:rowOff>47626</xdr:rowOff>
    </xdr:from>
    <xdr:to>
      <xdr:col>45</xdr:col>
      <xdr:colOff>333376</xdr:colOff>
      <xdr:row>68</xdr:row>
      <xdr:rowOff>23814</xdr:rowOff>
    </xdr:to>
    <xdr:graphicFrame macro="">
      <xdr:nvGraphicFramePr>
        <xdr:cNvPr id="18" name="Chart 17">
          <a:extLst>
            <a:ext uri="{FF2B5EF4-FFF2-40B4-BE49-F238E27FC236}">
              <a16:creationId xmlns:a16="http://schemas.microsoft.com/office/drawing/2014/main" id="{2AFC3212-5639-47EC-8AAE-9F37D6EA6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71437</xdr:colOff>
      <xdr:row>3</xdr:row>
      <xdr:rowOff>95251</xdr:rowOff>
    </xdr:from>
    <xdr:to>
      <xdr:col>5</xdr:col>
      <xdr:colOff>452437</xdr:colOff>
      <xdr:row>9</xdr:row>
      <xdr:rowOff>119063</xdr:rowOff>
    </xdr:to>
    <xdr:sp macro="" textlink="">
      <xdr:nvSpPr>
        <xdr:cNvPr id="47" name="Rectangle: Rounded Corners 46">
          <a:extLst>
            <a:ext uri="{FF2B5EF4-FFF2-40B4-BE49-F238E27FC236}">
              <a16:creationId xmlns:a16="http://schemas.microsoft.com/office/drawing/2014/main" id="{2E45E49B-DAB8-4C58-AEDC-63FD727224F2}"/>
            </a:ext>
          </a:extLst>
        </xdr:cNvPr>
        <xdr:cNvSpPr/>
      </xdr:nvSpPr>
      <xdr:spPr>
        <a:xfrm>
          <a:off x="71437" y="666751"/>
          <a:ext cx="3476625" cy="1166812"/>
        </a:xfrm>
        <a:prstGeom prst="roundRect">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Best </a:t>
          </a: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Month of Sales</a:t>
          </a:r>
          <a:endParaRPr kumimoji="0" lang="en-US" sz="1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December</a:t>
          </a:r>
        </a:p>
      </xdr:txBody>
    </xdr:sp>
    <xdr:clientData/>
  </xdr:twoCellAnchor>
  <xdr:twoCellAnchor>
    <xdr:from>
      <xdr:col>5</xdr:col>
      <xdr:colOff>485775</xdr:colOff>
      <xdr:row>3</xdr:row>
      <xdr:rowOff>104777</xdr:rowOff>
    </xdr:from>
    <xdr:to>
      <xdr:col>11</xdr:col>
      <xdr:colOff>247650</xdr:colOff>
      <xdr:row>9</xdr:row>
      <xdr:rowOff>128589</xdr:rowOff>
    </xdr:to>
    <xdr:sp macro="" textlink="">
      <xdr:nvSpPr>
        <xdr:cNvPr id="41" name="Rectangle: Rounded Corners 40">
          <a:extLst>
            <a:ext uri="{FF2B5EF4-FFF2-40B4-BE49-F238E27FC236}">
              <a16:creationId xmlns:a16="http://schemas.microsoft.com/office/drawing/2014/main" id="{B4BF49BB-9F47-7A35-F3BB-C09FA8E34031}"/>
            </a:ext>
          </a:extLst>
        </xdr:cNvPr>
        <xdr:cNvSpPr/>
      </xdr:nvSpPr>
      <xdr:spPr>
        <a:xfrm>
          <a:off x="3581400" y="676277"/>
          <a:ext cx="3476625" cy="1166812"/>
        </a:xfrm>
        <a:prstGeom prst="roundRect">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a:t>
          </a: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Top Regioner Performers</a:t>
          </a:r>
          <a:endParaRPr kumimoji="0" lang="en-US" sz="1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North Region</a:t>
          </a:r>
          <a:endParaRPr kumimoji="0" lang="en-US" sz="24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xdr:txBody>
    </xdr:sp>
    <xdr:clientData/>
  </xdr:twoCellAnchor>
  <xdr:twoCellAnchor>
    <xdr:from>
      <xdr:col>11</xdr:col>
      <xdr:colOff>257176</xdr:colOff>
      <xdr:row>3</xdr:row>
      <xdr:rowOff>114303</xdr:rowOff>
    </xdr:from>
    <xdr:to>
      <xdr:col>17</xdr:col>
      <xdr:colOff>23813</xdr:colOff>
      <xdr:row>9</xdr:row>
      <xdr:rowOff>119062</xdr:rowOff>
    </xdr:to>
    <xdr:sp macro="" textlink="">
      <xdr:nvSpPr>
        <xdr:cNvPr id="42" name="Rectangle: Rounded Corners 41">
          <a:extLst>
            <a:ext uri="{FF2B5EF4-FFF2-40B4-BE49-F238E27FC236}">
              <a16:creationId xmlns:a16="http://schemas.microsoft.com/office/drawing/2014/main" id="{3B913221-9F78-848A-F9B4-7E26BDB36715}"/>
            </a:ext>
          </a:extLst>
        </xdr:cNvPr>
        <xdr:cNvSpPr/>
      </xdr:nvSpPr>
      <xdr:spPr>
        <a:xfrm>
          <a:off x="7067551" y="685803"/>
          <a:ext cx="3481387" cy="1147759"/>
        </a:xfrm>
        <a:prstGeom prst="roundRect">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a:t>
          </a: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Least Ship City By Revenue</a:t>
          </a:r>
          <a:endParaRPr kumimoji="0" lang="en-US" sz="1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Milwaukee</a:t>
          </a:r>
          <a:endParaRPr kumimoji="0" lang="en-US" sz="2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xdr:txBody>
    </xdr:sp>
    <xdr:clientData/>
  </xdr:twoCellAnchor>
  <xdr:twoCellAnchor>
    <xdr:from>
      <xdr:col>17</xdr:col>
      <xdr:colOff>95250</xdr:colOff>
      <xdr:row>3</xdr:row>
      <xdr:rowOff>123827</xdr:rowOff>
    </xdr:from>
    <xdr:to>
      <xdr:col>22</xdr:col>
      <xdr:colOff>433387</xdr:colOff>
      <xdr:row>9</xdr:row>
      <xdr:rowOff>147639</xdr:rowOff>
    </xdr:to>
    <xdr:sp macro="" textlink="">
      <xdr:nvSpPr>
        <xdr:cNvPr id="43" name="Rectangle: Rounded Corners 42">
          <a:extLst>
            <a:ext uri="{FF2B5EF4-FFF2-40B4-BE49-F238E27FC236}">
              <a16:creationId xmlns:a16="http://schemas.microsoft.com/office/drawing/2014/main" id="{0FF7D017-F468-2B4A-A045-CFB43CBA9A64}"/>
            </a:ext>
          </a:extLst>
        </xdr:cNvPr>
        <xdr:cNvSpPr/>
      </xdr:nvSpPr>
      <xdr:spPr>
        <a:xfrm>
          <a:off x="10620375" y="695327"/>
          <a:ext cx="3433762" cy="1166812"/>
        </a:xfrm>
        <a:prstGeom prst="roundRect">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a:t>
          </a:r>
          <a:r>
            <a:rPr kumimoji="0" lang="en-US" sz="1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Highest Performance By State</a:t>
          </a:r>
          <a:endParaRPr kumimoji="0" lang="en-US" sz="2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NewYork</a:t>
          </a:r>
          <a:endParaRPr kumimoji="0" lang="en-US" sz="2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xdr:txBody>
    </xdr:sp>
    <xdr:clientData/>
  </xdr:twoCellAnchor>
  <xdr:twoCellAnchor>
    <xdr:from>
      <xdr:col>22</xdr:col>
      <xdr:colOff>442911</xdr:colOff>
      <xdr:row>3</xdr:row>
      <xdr:rowOff>109540</xdr:rowOff>
    </xdr:from>
    <xdr:to>
      <xdr:col>28</xdr:col>
      <xdr:colOff>204786</xdr:colOff>
      <xdr:row>9</xdr:row>
      <xdr:rowOff>133352</xdr:rowOff>
    </xdr:to>
    <xdr:sp macro="" textlink="">
      <xdr:nvSpPr>
        <xdr:cNvPr id="44" name="Rectangle: Rounded Corners 43">
          <a:extLst>
            <a:ext uri="{FF2B5EF4-FFF2-40B4-BE49-F238E27FC236}">
              <a16:creationId xmlns:a16="http://schemas.microsoft.com/office/drawing/2014/main" id="{4CC4FDE7-3140-FFDC-04C5-CC210E1B9819}"/>
            </a:ext>
          </a:extLst>
        </xdr:cNvPr>
        <xdr:cNvSpPr/>
      </xdr:nvSpPr>
      <xdr:spPr>
        <a:xfrm>
          <a:off x="14063661" y="681040"/>
          <a:ext cx="3476625" cy="1166812"/>
        </a:xfrm>
        <a:prstGeom prst="roundRect">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Highest Transaction By Amount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221</a:t>
          </a:r>
          <a:endParaRPr kumimoji="0" lang="en-US" sz="2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xdr:txBody>
    </xdr:sp>
    <xdr:clientData/>
  </xdr:twoCellAnchor>
  <xdr:twoCellAnchor>
    <xdr:from>
      <xdr:col>28</xdr:col>
      <xdr:colOff>238124</xdr:colOff>
      <xdr:row>3</xdr:row>
      <xdr:rowOff>95252</xdr:rowOff>
    </xdr:from>
    <xdr:to>
      <xdr:col>34</xdr:col>
      <xdr:colOff>-1</xdr:colOff>
      <xdr:row>9</xdr:row>
      <xdr:rowOff>119064</xdr:rowOff>
    </xdr:to>
    <xdr:sp macro="" textlink="">
      <xdr:nvSpPr>
        <xdr:cNvPr id="45" name="Rectangle: Rounded Corners 44">
          <a:extLst>
            <a:ext uri="{FF2B5EF4-FFF2-40B4-BE49-F238E27FC236}">
              <a16:creationId xmlns:a16="http://schemas.microsoft.com/office/drawing/2014/main" id="{0A3E8DA3-A7B6-BDC6-7118-946BFBAD34AF}"/>
            </a:ext>
          </a:extLst>
        </xdr:cNvPr>
        <xdr:cNvSpPr/>
      </xdr:nvSpPr>
      <xdr:spPr>
        <a:xfrm>
          <a:off x="17573624" y="666752"/>
          <a:ext cx="3476625" cy="1166812"/>
        </a:xfrm>
        <a:prstGeom prst="roundRect">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Best </a:t>
          </a: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Sales By Product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Category</a:t>
          </a:r>
        </a:p>
      </xdr:txBody>
    </xdr:sp>
    <xdr:clientData/>
  </xdr:twoCellAnchor>
  <xdr:twoCellAnchor>
    <xdr:from>
      <xdr:col>34</xdr:col>
      <xdr:colOff>57149</xdr:colOff>
      <xdr:row>3</xdr:row>
      <xdr:rowOff>104777</xdr:rowOff>
    </xdr:from>
    <xdr:to>
      <xdr:col>39</xdr:col>
      <xdr:colOff>438149</xdr:colOff>
      <xdr:row>9</xdr:row>
      <xdr:rowOff>128589</xdr:rowOff>
    </xdr:to>
    <xdr:sp macro="" textlink="">
      <xdr:nvSpPr>
        <xdr:cNvPr id="46" name="Rectangle: Rounded Corners 45">
          <a:extLst>
            <a:ext uri="{FF2B5EF4-FFF2-40B4-BE49-F238E27FC236}">
              <a16:creationId xmlns:a16="http://schemas.microsoft.com/office/drawing/2014/main" id="{C51BA50A-C4DE-4133-79DF-D89343F86C58}"/>
            </a:ext>
          </a:extLst>
        </xdr:cNvPr>
        <xdr:cNvSpPr/>
      </xdr:nvSpPr>
      <xdr:spPr>
        <a:xfrm>
          <a:off x="21107399" y="676277"/>
          <a:ext cx="3476625" cy="1166812"/>
        </a:xfrm>
        <a:prstGeom prst="roundRect">
          <a:avLst>
            <a:gd name="adj" fmla="val 8504"/>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Most Productive Sales Reps</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Nancy Freehafer</a:t>
          </a:r>
          <a:endParaRPr kumimoji="0" lang="en-US" sz="2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xdr:txBody>
    </xdr:sp>
    <xdr:clientData/>
  </xdr:twoCellAnchor>
  <xdr:twoCellAnchor>
    <xdr:from>
      <xdr:col>0</xdr:col>
      <xdr:colOff>119063</xdr:colOff>
      <xdr:row>28</xdr:row>
      <xdr:rowOff>142876</xdr:rowOff>
    </xdr:from>
    <xdr:to>
      <xdr:col>10</xdr:col>
      <xdr:colOff>404812</xdr:colOff>
      <xdr:row>46</xdr:row>
      <xdr:rowOff>166688</xdr:rowOff>
    </xdr:to>
    <xdr:graphicFrame macro="">
      <xdr:nvGraphicFramePr>
        <xdr:cNvPr id="51" name="Chart 50">
          <a:extLst>
            <a:ext uri="{FF2B5EF4-FFF2-40B4-BE49-F238E27FC236}">
              <a16:creationId xmlns:a16="http://schemas.microsoft.com/office/drawing/2014/main" id="{20C42692-CFC0-4BBD-A2F1-31DDFEB49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471486</xdr:colOff>
      <xdr:row>3</xdr:row>
      <xdr:rowOff>90490</xdr:rowOff>
    </xdr:from>
    <xdr:to>
      <xdr:col>45</xdr:col>
      <xdr:colOff>233361</xdr:colOff>
      <xdr:row>9</xdr:row>
      <xdr:rowOff>114302</xdr:rowOff>
    </xdr:to>
    <xdr:sp macro="" textlink="">
      <xdr:nvSpPr>
        <xdr:cNvPr id="56" name="Rectangle: Rounded Corners 55">
          <a:extLst>
            <a:ext uri="{FF2B5EF4-FFF2-40B4-BE49-F238E27FC236}">
              <a16:creationId xmlns:a16="http://schemas.microsoft.com/office/drawing/2014/main" id="{65ADA85F-9781-1BA6-077A-903203342AAE}"/>
            </a:ext>
          </a:extLst>
        </xdr:cNvPr>
        <xdr:cNvSpPr/>
      </xdr:nvSpPr>
      <xdr:spPr>
        <a:xfrm>
          <a:off x="24617361" y="661990"/>
          <a:ext cx="3476625" cy="1166812"/>
        </a:xfrm>
        <a:prstGeom prst="roundRect">
          <a:avLst>
            <a:gd name="adj" fmla="val 8504"/>
          </a:avLst>
        </a:prstGeom>
        <a:solidFill>
          <a:sysClr val="window" lastClr="FFFFFF"/>
        </a:solidFill>
        <a:ln w="19050" cap="flat" cmpd="sng" algn="ctr">
          <a:solidFill>
            <a:srgbClr val="156082">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Top Best Customer</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Company D</a:t>
          </a:r>
          <a:endParaRPr kumimoji="0" lang="en-US" sz="28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endParaRPr>
        </a:p>
      </xdr:txBody>
    </xdr:sp>
    <xdr:clientData/>
  </xdr:twoCellAnchor>
  <xdr:twoCellAnchor>
    <xdr:from>
      <xdr:col>0</xdr:col>
      <xdr:colOff>95250</xdr:colOff>
      <xdr:row>10</xdr:row>
      <xdr:rowOff>23811</xdr:rowOff>
    </xdr:from>
    <xdr:to>
      <xdr:col>29</xdr:col>
      <xdr:colOff>357187</xdr:colOff>
      <xdr:row>28</xdr:row>
      <xdr:rowOff>23812</xdr:rowOff>
    </xdr:to>
    <xdr:graphicFrame macro="">
      <xdr:nvGraphicFramePr>
        <xdr:cNvPr id="5" name="Chart 4">
          <a:extLst>
            <a:ext uri="{FF2B5EF4-FFF2-40B4-BE49-F238E27FC236}">
              <a16:creationId xmlns:a16="http://schemas.microsoft.com/office/drawing/2014/main" id="{A5BF32EB-1697-4CB4-B9D2-9B17ECB0C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309562</xdr:colOff>
      <xdr:row>4</xdr:row>
      <xdr:rowOff>23813</xdr:rowOff>
    </xdr:from>
    <xdr:to>
      <xdr:col>1</xdr:col>
      <xdr:colOff>330517</xdr:colOff>
      <xdr:row>7</xdr:row>
      <xdr:rowOff>92393</xdr:rowOff>
    </xdr:to>
    <xdr:pic>
      <xdr:nvPicPr>
        <xdr:cNvPr id="6" name="Graphic 5" descr="Money with solid fill">
          <a:extLst>
            <a:ext uri="{FF2B5EF4-FFF2-40B4-BE49-F238E27FC236}">
              <a16:creationId xmlns:a16="http://schemas.microsoft.com/office/drawing/2014/main" id="{0E9D97FC-ACCB-FFDC-8991-E0F6C5666F6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9562" y="785813"/>
          <a:ext cx="640080" cy="640080"/>
        </a:xfrm>
        <a:prstGeom prst="rect">
          <a:avLst/>
        </a:prstGeom>
      </xdr:spPr>
    </xdr:pic>
    <xdr:clientData/>
  </xdr:twoCellAnchor>
  <xdr:twoCellAnchor editAs="oneCell">
    <xdr:from>
      <xdr:col>6</xdr:col>
      <xdr:colOff>47625</xdr:colOff>
      <xdr:row>4</xdr:row>
      <xdr:rowOff>23813</xdr:rowOff>
    </xdr:from>
    <xdr:to>
      <xdr:col>7</xdr:col>
      <xdr:colOff>68580</xdr:colOff>
      <xdr:row>7</xdr:row>
      <xdr:rowOff>92393</xdr:rowOff>
    </xdr:to>
    <xdr:pic>
      <xdr:nvPicPr>
        <xdr:cNvPr id="15" name="Graphic 14" descr="Bank with solid fill">
          <a:extLst>
            <a:ext uri="{FF2B5EF4-FFF2-40B4-BE49-F238E27FC236}">
              <a16:creationId xmlns:a16="http://schemas.microsoft.com/office/drawing/2014/main" id="{9CCEED04-EEF4-66DB-3ACC-F3204E1803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62375" y="785813"/>
          <a:ext cx="640080" cy="640080"/>
        </a:xfrm>
        <a:prstGeom prst="rect">
          <a:avLst/>
        </a:prstGeom>
      </xdr:spPr>
    </xdr:pic>
    <xdr:clientData/>
  </xdr:twoCellAnchor>
  <xdr:twoCellAnchor editAs="oneCell">
    <xdr:from>
      <xdr:col>11</xdr:col>
      <xdr:colOff>452438</xdr:colOff>
      <xdr:row>4</xdr:row>
      <xdr:rowOff>142875</xdr:rowOff>
    </xdr:from>
    <xdr:to>
      <xdr:col>12</xdr:col>
      <xdr:colOff>473393</xdr:colOff>
      <xdr:row>8</xdr:row>
      <xdr:rowOff>20955</xdr:rowOff>
    </xdr:to>
    <xdr:pic>
      <xdr:nvPicPr>
        <xdr:cNvPr id="19" name="Graphic 18" descr="Airplane with solid fill">
          <a:extLst>
            <a:ext uri="{FF2B5EF4-FFF2-40B4-BE49-F238E27FC236}">
              <a16:creationId xmlns:a16="http://schemas.microsoft.com/office/drawing/2014/main" id="{0CB8202B-3646-C5E7-D8AF-E8134115A19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62813" y="904875"/>
          <a:ext cx="640080" cy="640080"/>
        </a:xfrm>
        <a:prstGeom prst="rect">
          <a:avLst/>
        </a:prstGeom>
      </xdr:spPr>
    </xdr:pic>
    <xdr:clientData/>
  </xdr:twoCellAnchor>
  <xdr:twoCellAnchor editAs="oneCell">
    <xdr:from>
      <xdr:col>17</xdr:col>
      <xdr:colOff>238125</xdr:colOff>
      <xdr:row>4</xdr:row>
      <xdr:rowOff>166687</xdr:rowOff>
    </xdr:from>
    <xdr:to>
      <xdr:col>18</xdr:col>
      <xdr:colOff>259080</xdr:colOff>
      <xdr:row>8</xdr:row>
      <xdr:rowOff>44767</xdr:rowOff>
    </xdr:to>
    <xdr:pic>
      <xdr:nvPicPr>
        <xdr:cNvPr id="21" name="Graphic 20" descr="Bar graph with upward trend with solid fill">
          <a:extLst>
            <a:ext uri="{FF2B5EF4-FFF2-40B4-BE49-F238E27FC236}">
              <a16:creationId xmlns:a16="http://schemas.microsoft.com/office/drawing/2014/main" id="{7FB6CF51-3177-0031-8607-559074D4B9A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763250" y="928687"/>
          <a:ext cx="640080" cy="640080"/>
        </a:xfrm>
        <a:prstGeom prst="rect">
          <a:avLst/>
        </a:prstGeom>
      </xdr:spPr>
    </xdr:pic>
    <xdr:clientData/>
  </xdr:twoCellAnchor>
  <xdr:twoCellAnchor editAs="oneCell">
    <xdr:from>
      <xdr:col>22</xdr:col>
      <xdr:colOff>523875</xdr:colOff>
      <xdr:row>4</xdr:row>
      <xdr:rowOff>95250</xdr:rowOff>
    </xdr:from>
    <xdr:to>
      <xdr:col>23</xdr:col>
      <xdr:colOff>544830</xdr:colOff>
      <xdr:row>7</xdr:row>
      <xdr:rowOff>163830</xdr:rowOff>
    </xdr:to>
    <xdr:pic>
      <xdr:nvPicPr>
        <xdr:cNvPr id="23" name="Graphic 22" descr="Star with solid fill">
          <a:extLst>
            <a:ext uri="{FF2B5EF4-FFF2-40B4-BE49-F238E27FC236}">
              <a16:creationId xmlns:a16="http://schemas.microsoft.com/office/drawing/2014/main" id="{26C1CAFA-2CA1-1992-A9A3-AF18B609BC4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4144625" y="857250"/>
          <a:ext cx="640080" cy="640080"/>
        </a:xfrm>
        <a:prstGeom prst="rect">
          <a:avLst/>
        </a:prstGeom>
      </xdr:spPr>
    </xdr:pic>
    <xdr:clientData/>
  </xdr:twoCellAnchor>
  <xdr:twoCellAnchor editAs="oneCell">
    <xdr:from>
      <xdr:col>40</xdr:col>
      <xdr:colOff>190500</xdr:colOff>
      <xdr:row>4</xdr:row>
      <xdr:rowOff>119063</xdr:rowOff>
    </xdr:from>
    <xdr:to>
      <xdr:col>41</xdr:col>
      <xdr:colOff>211455</xdr:colOff>
      <xdr:row>7</xdr:row>
      <xdr:rowOff>187643</xdr:rowOff>
    </xdr:to>
    <xdr:pic>
      <xdr:nvPicPr>
        <xdr:cNvPr id="25" name="Graphic 24" descr="Handshake with solid fill">
          <a:extLst>
            <a:ext uri="{FF2B5EF4-FFF2-40B4-BE49-F238E27FC236}">
              <a16:creationId xmlns:a16="http://schemas.microsoft.com/office/drawing/2014/main" id="{51908624-ED13-0B5C-A155-ED6CCCEF9EA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4955500" y="881063"/>
          <a:ext cx="640080" cy="640080"/>
        </a:xfrm>
        <a:prstGeom prst="rect">
          <a:avLst/>
        </a:prstGeom>
      </xdr:spPr>
    </xdr:pic>
    <xdr:clientData/>
  </xdr:twoCellAnchor>
  <xdr:twoCellAnchor editAs="oneCell">
    <xdr:from>
      <xdr:col>34</xdr:col>
      <xdr:colOff>261937</xdr:colOff>
      <xdr:row>4</xdr:row>
      <xdr:rowOff>71438</xdr:rowOff>
    </xdr:from>
    <xdr:to>
      <xdr:col>35</xdr:col>
      <xdr:colOff>282892</xdr:colOff>
      <xdr:row>7</xdr:row>
      <xdr:rowOff>140018</xdr:rowOff>
    </xdr:to>
    <xdr:pic>
      <xdr:nvPicPr>
        <xdr:cNvPr id="27" name="Graphic 26" descr="Man with solid fill">
          <a:extLst>
            <a:ext uri="{FF2B5EF4-FFF2-40B4-BE49-F238E27FC236}">
              <a16:creationId xmlns:a16="http://schemas.microsoft.com/office/drawing/2014/main" id="{8F2D8EA9-FEF8-5BA8-5F37-46D9B8C1066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312187" y="833438"/>
          <a:ext cx="640080" cy="640080"/>
        </a:xfrm>
        <a:prstGeom prst="rect">
          <a:avLst/>
        </a:prstGeom>
      </xdr:spPr>
    </xdr:pic>
    <xdr:clientData/>
  </xdr:twoCellAnchor>
  <xdr:twoCellAnchor editAs="oneCell">
    <xdr:from>
      <xdr:col>28</xdr:col>
      <xdr:colOff>452438</xdr:colOff>
      <xdr:row>4</xdr:row>
      <xdr:rowOff>95250</xdr:rowOff>
    </xdr:from>
    <xdr:to>
      <xdr:col>29</xdr:col>
      <xdr:colOff>473393</xdr:colOff>
      <xdr:row>7</xdr:row>
      <xdr:rowOff>163830</xdr:rowOff>
    </xdr:to>
    <xdr:pic>
      <xdr:nvPicPr>
        <xdr:cNvPr id="31" name="Graphic 30" descr="Checkmark with solid fill">
          <a:extLst>
            <a:ext uri="{FF2B5EF4-FFF2-40B4-BE49-F238E27FC236}">
              <a16:creationId xmlns:a16="http://schemas.microsoft.com/office/drawing/2014/main" id="{45270772-0C09-DBC8-40A5-9AB8F5E9768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787938" y="857250"/>
          <a:ext cx="640080" cy="640080"/>
        </a:xfrm>
        <a:prstGeom prst="rect">
          <a:avLst/>
        </a:prstGeom>
      </xdr:spPr>
    </xdr:pic>
    <xdr:clientData/>
  </xdr:twoCellAnchor>
  <xdr:twoCellAnchor>
    <xdr:from>
      <xdr:col>29</xdr:col>
      <xdr:colOff>404812</xdr:colOff>
      <xdr:row>9</xdr:row>
      <xdr:rowOff>166687</xdr:rowOff>
    </xdr:from>
    <xdr:to>
      <xdr:col>45</xdr:col>
      <xdr:colOff>238125</xdr:colOff>
      <xdr:row>27</xdr:row>
      <xdr:rowOff>166686</xdr:rowOff>
    </xdr:to>
    <xdr:sp macro="" textlink="">
      <xdr:nvSpPr>
        <xdr:cNvPr id="33" name="Rectangle: Rounded Corners 32">
          <a:extLst>
            <a:ext uri="{FF2B5EF4-FFF2-40B4-BE49-F238E27FC236}">
              <a16:creationId xmlns:a16="http://schemas.microsoft.com/office/drawing/2014/main" id="{F0BCFBC5-C927-DC03-8C84-5B3B0E37B92C}"/>
            </a:ext>
          </a:extLst>
        </xdr:cNvPr>
        <xdr:cNvSpPr/>
      </xdr:nvSpPr>
      <xdr:spPr>
        <a:xfrm>
          <a:off x="18359437" y="1881187"/>
          <a:ext cx="9739313" cy="3428999"/>
        </a:xfrm>
        <a:prstGeom prst="roundRect">
          <a:avLst>
            <a:gd name="adj" fmla="val 8504"/>
          </a:avLst>
        </a:prstGeom>
        <a:solidFill>
          <a:sysClr val="window" lastClr="FFFFFF"/>
        </a:solidFill>
        <a:ln w="19050" cap="flat" cmpd="sng" algn="ctr">
          <a:no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Garamond" panose="02020404030301010803" pitchFamily="18" charset="0"/>
              <a:ea typeface="+mn-ea"/>
              <a:cs typeface="+mn-cs"/>
            </a:rPr>
            <a:t>         </a:t>
          </a:r>
        </a:p>
      </xdr:txBody>
    </xdr:sp>
    <xdr:clientData/>
  </xdr:twoCellAnchor>
  <xdr:twoCellAnchor>
    <xdr:from>
      <xdr:col>30</xdr:col>
      <xdr:colOff>190500</xdr:colOff>
      <xdr:row>11</xdr:row>
      <xdr:rowOff>23810</xdr:rowOff>
    </xdr:from>
    <xdr:to>
      <xdr:col>44</xdr:col>
      <xdr:colOff>71437</xdr:colOff>
      <xdr:row>25</xdr:row>
      <xdr:rowOff>142872</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18F61757-86FB-4403-8543-B2930BF009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8478500" y="2119310"/>
              <a:ext cx="8415337" cy="27860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452439</xdr:colOff>
      <xdr:row>28</xdr:row>
      <xdr:rowOff>95250</xdr:rowOff>
    </xdr:from>
    <xdr:to>
      <xdr:col>29</xdr:col>
      <xdr:colOff>261937</xdr:colOff>
      <xdr:row>46</xdr:row>
      <xdr:rowOff>142874</xdr:rowOff>
    </xdr:to>
    <xdr:graphicFrame macro="">
      <xdr:nvGraphicFramePr>
        <xdr:cNvPr id="32" name="Chart 31">
          <a:extLst>
            <a:ext uri="{FF2B5EF4-FFF2-40B4-BE49-F238E27FC236}">
              <a16:creationId xmlns:a16="http://schemas.microsoft.com/office/drawing/2014/main" id="{1648E549-595D-45A4-9FA0-7138989B0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45</xdr:col>
      <xdr:colOff>323850</xdr:colOff>
      <xdr:row>3</xdr:row>
      <xdr:rowOff>152400</xdr:rowOff>
    </xdr:from>
    <xdr:to>
      <xdr:col>51</xdr:col>
      <xdr:colOff>95250</xdr:colOff>
      <xdr:row>19</xdr:row>
      <xdr:rowOff>71437</xdr:rowOff>
    </xdr:to>
    <mc:AlternateContent xmlns:mc="http://schemas.openxmlformats.org/markup-compatibility/2006" xmlns:a14="http://schemas.microsoft.com/office/drawing/2010/main">
      <mc:Choice Requires="a14">
        <xdr:graphicFrame macro="">
          <xdr:nvGraphicFramePr>
            <xdr:cNvPr id="35" name="Salesperson">
              <a:extLst>
                <a:ext uri="{FF2B5EF4-FFF2-40B4-BE49-F238E27FC236}">
                  <a16:creationId xmlns:a16="http://schemas.microsoft.com/office/drawing/2014/main" id="{98842D20-D76F-A105-4B1D-4B519B80F76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8184475" y="723900"/>
              <a:ext cx="3486150" cy="2967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323850</xdr:colOff>
      <xdr:row>19</xdr:row>
      <xdr:rowOff>128587</xdr:rowOff>
    </xdr:from>
    <xdr:to>
      <xdr:col>51</xdr:col>
      <xdr:colOff>71438</xdr:colOff>
      <xdr:row>31</xdr:row>
      <xdr:rowOff>80962</xdr:rowOff>
    </xdr:to>
    <mc:AlternateContent xmlns:mc="http://schemas.openxmlformats.org/markup-compatibility/2006" xmlns:a14="http://schemas.microsoft.com/office/drawing/2010/main">
      <mc:Choice Requires="a14">
        <xdr:graphicFrame macro="">
          <xdr:nvGraphicFramePr>
            <xdr:cNvPr id="37" name="Region">
              <a:extLst>
                <a:ext uri="{FF2B5EF4-FFF2-40B4-BE49-F238E27FC236}">
                  <a16:creationId xmlns:a16="http://schemas.microsoft.com/office/drawing/2014/main" id="{D7BBB94A-5756-694F-7736-B1A8BB56DC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184475" y="3748087"/>
              <a:ext cx="3462338"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323850</xdr:colOff>
      <xdr:row>31</xdr:row>
      <xdr:rowOff>152400</xdr:rowOff>
    </xdr:from>
    <xdr:to>
      <xdr:col>51</xdr:col>
      <xdr:colOff>95250</xdr:colOff>
      <xdr:row>45</xdr:row>
      <xdr:rowOff>166687</xdr:rowOff>
    </xdr:to>
    <mc:AlternateContent xmlns:mc="http://schemas.openxmlformats.org/markup-compatibility/2006" xmlns:a14="http://schemas.microsoft.com/office/drawing/2010/main">
      <mc:Choice Requires="a14">
        <xdr:graphicFrame macro="">
          <xdr:nvGraphicFramePr>
            <xdr:cNvPr id="39" name="Product Name">
              <a:extLst>
                <a:ext uri="{FF2B5EF4-FFF2-40B4-BE49-F238E27FC236}">
                  <a16:creationId xmlns:a16="http://schemas.microsoft.com/office/drawing/2014/main" id="{810D6B60-5C78-D71D-391B-2FB0E6751ED3}"/>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8184475" y="6057900"/>
              <a:ext cx="3486150" cy="2681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428623</xdr:colOff>
      <xdr:row>46</xdr:row>
      <xdr:rowOff>23812</xdr:rowOff>
    </xdr:from>
    <xdr:to>
      <xdr:col>51</xdr:col>
      <xdr:colOff>95248</xdr:colOff>
      <xdr:row>68</xdr:row>
      <xdr:rowOff>71437</xdr:rowOff>
    </xdr:to>
    <mc:AlternateContent xmlns:mc="http://schemas.openxmlformats.org/markup-compatibility/2006" xmlns:a14="http://schemas.microsoft.com/office/drawing/2010/main">
      <mc:Choice Requires="a14">
        <xdr:graphicFrame macro="">
          <xdr:nvGraphicFramePr>
            <xdr:cNvPr id="48" name="Payment Type">
              <a:extLst>
                <a:ext uri="{FF2B5EF4-FFF2-40B4-BE49-F238E27FC236}">
                  <a16:creationId xmlns:a16="http://schemas.microsoft.com/office/drawing/2014/main" id="{DAFB5A0C-C2CC-3F08-34C5-DA8D6DD73DD5}"/>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mlns="">
        <xdr:sp macro="" textlink="">
          <xdr:nvSpPr>
            <xdr:cNvPr id="0" name=""/>
            <xdr:cNvSpPr>
              <a:spLocks noTextEdit="1"/>
            </xdr:cNvSpPr>
          </xdr:nvSpPr>
          <xdr:spPr>
            <a:xfrm>
              <a:off x="28289248" y="8786812"/>
              <a:ext cx="3381375" cy="423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2</xdr:col>
      <xdr:colOff>349247</xdr:colOff>
      <xdr:row>0</xdr:row>
      <xdr:rowOff>148168</xdr:rowOff>
    </xdr:from>
    <xdr:to>
      <xdr:col>18</xdr:col>
      <xdr:colOff>455083</xdr:colOff>
      <xdr:row>4</xdr:row>
      <xdr:rowOff>105834</xdr:rowOff>
    </xdr:to>
    <xdr:sp macro="" textlink="">
      <xdr:nvSpPr>
        <xdr:cNvPr id="5" name="Rectangle: Rounded Corners 4">
          <a:extLst>
            <a:ext uri="{FF2B5EF4-FFF2-40B4-BE49-F238E27FC236}">
              <a16:creationId xmlns:a16="http://schemas.microsoft.com/office/drawing/2014/main" id="{FB4EC88D-E818-5A7B-28E8-9AC31B456EB4}"/>
            </a:ext>
          </a:extLst>
        </xdr:cNvPr>
        <xdr:cNvSpPr/>
      </xdr:nvSpPr>
      <xdr:spPr>
        <a:xfrm>
          <a:off x="1576914" y="148168"/>
          <a:ext cx="9927169" cy="71966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oneCellAnchor>
    <xdr:from>
      <xdr:col>3</xdr:col>
      <xdr:colOff>10584</xdr:colOff>
      <xdr:row>3</xdr:row>
      <xdr:rowOff>10583</xdr:rowOff>
    </xdr:from>
    <xdr:ext cx="1582100" cy="264560"/>
    <xdr:sp macro="" textlink="">
      <xdr:nvSpPr>
        <xdr:cNvPr id="7" name="TextBox 6">
          <a:extLst>
            <a:ext uri="{FF2B5EF4-FFF2-40B4-BE49-F238E27FC236}">
              <a16:creationId xmlns:a16="http://schemas.microsoft.com/office/drawing/2014/main" id="{C45C0746-86CE-DFCD-12ED-B5D204772565}"/>
            </a:ext>
          </a:extLst>
        </xdr:cNvPr>
        <xdr:cNvSpPr txBox="1"/>
      </xdr:nvSpPr>
      <xdr:spPr>
        <a:xfrm>
          <a:off x="1852084" y="582083"/>
          <a:ext cx="1582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accent5">
                  <a:lumMod val="50000"/>
                </a:schemeClr>
              </a:solidFill>
            </a:rPr>
            <a:t>Figures in thousand USD</a:t>
          </a:r>
        </a:p>
      </xdr:txBody>
    </xdr:sp>
    <xdr:clientData/>
  </xdr:oneCellAnchor>
  <xdr:oneCellAnchor>
    <xdr:from>
      <xdr:col>2</xdr:col>
      <xdr:colOff>501650</xdr:colOff>
      <xdr:row>1</xdr:row>
      <xdr:rowOff>120650</xdr:rowOff>
    </xdr:from>
    <xdr:ext cx="184731" cy="264560"/>
    <xdr:sp macro="" textlink="">
      <xdr:nvSpPr>
        <xdr:cNvPr id="8" name="TextBox 7">
          <a:extLst>
            <a:ext uri="{FF2B5EF4-FFF2-40B4-BE49-F238E27FC236}">
              <a16:creationId xmlns:a16="http://schemas.microsoft.com/office/drawing/2014/main" id="{07725508-0034-4BE5-3370-B54EFDBC9BBD}"/>
            </a:ext>
          </a:extLst>
        </xdr:cNvPr>
        <xdr:cNvSpPr txBox="1"/>
      </xdr:nvSpPr>
      <xdr:spPr>
        <a:xfrm>
          <a:off x="1729317" y="311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603250</xdr:colOff>
      <xdr:row>1</xdr:row>
      <xdr:rowOff>74083</xdr:rowOff>
    </xdr:from>
    <xdr:ext cx="6797054" cy="380873"/>
    <xdr:sp macro="" textlink="">
      <xdr:nvSpPr>
        <xdr:cNvPr id="10" name="TextBox 9">
          <a:extLst>
            <a:ext uri="{FF2B5EF4-FFF2-40B4-BE49-F238E27FC236}">
              <a16:creationId xmlns:a16="http://schemas.microsoft.com/office/drawing/2014/main" id="{B24D8FC6-9C0D-349E-5FCB-2D5C67213BA3}"/>
            </a:ext>
          </a:extLst>
        </xdr:cNvPr>
        <xdr:cNvSpPr txBox="1"/>
      </xdr:nvSpPr>
      <xdr:spPr>
        <a:xfrm>
          <a:off x="1830917" y="264583"/>
          <a:ext cx="6797054" cy="380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5">
                  <a:lumMod val="50000"/>
                </a:schemeClr>
              </a:solidFill>
              <a:latin typeface="Garamond" panose="02020404030301010803" pitchFamily="18" charset="0"/>
            </a:rPr>
            <a:t>ORBITAL</a:t>
          </a:r>
          <a:r>
            <a:rPr lang="en-US" sz="2000" b="1" baseline="0">
              <a:solidFill>
                <a:schemeClr val="accent5">
                  <a:lumMod val="50000"/>
                </a:schemeClr>
              </a:solidFill>
              <a:latin typeface="Garamond" panose="02020404030301010803" pitchFamily="18" charset="0"/>
            </a:rPr>
            <a:t> SERVICE DASHBOARD FOR THE YEAR 2020</a:t>
          </a:r>
          <a:endParaRPr lang="en-US" sz="2000" b="1">
            <a:solidFill>
              <a:schemeClr val="accent5">
                <a:lumMod val="50000"/>
              </a:schemeClr>
            </a:solidFill>
            <a:latin typeface="Garamond" panose="02020404030301010803" pitchFamily="18" charset="0"/>
          </a:endParaRPr>
        </a:p>
      </xdr:txBody>
    </xdr:sp>
    <xdr:clientData/>
  </xdr:oneCellAnchor>
  <xdr:twoCellAnchor>
    <xdr:from>
      <xdr:col>7</xdr:col>
      <xdr:colOff>400048</xdr:colOff>
      <xdr:row>4</xdr:row>
      <xdr:rowOff>177801</xdr:rowOff>
    </xdr:from>
    <xdr:to>
      <xdr:col>13</xdr:col>
      <xdr:colOff>84668</xdr:colOff>
      <xdr:row>13</xdr:row>
      <xdr:rowOff>120650</xdr:rowOff>
    </xdr:to>
    <xdr:sp macro="" textlink="">
      <xdr:nvSpPr>
        <xdr:cNvPr id="12" name="Rectangle: Rounded Corners 11">
          <a:extLst>
            <a:ext uri="{FF2B5EF4-FFF2-40B4-BE49-F238E27FC236}">
              <a16:creationId xmlns:a16="http://schemas.microsoft.com/office/drawing/2014/main" id="{98B42F8F-1CD3-A7D7-0D3D-F5ABD429BFA5}"/>
            </a:ext>
          </a:extLst>
        </xdr:cNvPr>
        <xdr:cNvSpPr/>
      </xdr:nvSpPr>
      <xdr:spPr>
        <a:xfrm>
          <a:off x="4696881" y="939801"/>
          <a:ext cx="3367620" cy="165734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twoCellAnchor>
    <xdr:from>
      <xdr:col>13</xdr:col>
      <xdr:colOff>137582</xdr:colOff>
      <xdr:row>4</xdr:row>
      <xdr:rowOff>158750</xdr:rowOff>
    </xdr:from>
    <xdr:to>
      <xdr:col>18</xdr:col>
      <xdr:colOff>444498</xdr:colOff>
      <xdr:row>13</xdr:row>
      <xdr:rowOff>146051</xdr:rowOff>
    </xdr:to>
    <xdr:sp macro="" textlink="">
      <xdr:nvSpPr>
        <xdr:cNvPr id="13" name="Rectangle: Rounded Corners 12">
          <a:extLst>
            <a:ext uri="{FF2B5EF4-FFF2-40B4-BE49-F238E27FC236}">
              <a16:creationId xmlns:a16="http://schemas.microsoft.com/office/drawing/2014/main" id="{D6508416-82D1-9D68-6DC5-3E709D81BD05}"/>
            </a:ext>
          </a:extLst>
        </xdr:cNvPr>
        <xdr:cNvSpPr/>
      </xdr:nvSpPr>
      <xdr:spPr>
        <a:xfrm>
          <a:off x="8117415" y="920750"/>
          <a:ext cx="3376083" cy="17018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twoCellAnchor>
    <xdr:from>
      <xdr:col>2</xdr:col>
      <xdr:colOff>338667</xdr:colOff>
      <xdr:row>14</xdr:row>
      <xdr:rowOff>31750</xdr:rowOff>
    </xdr:from>
    <xdr:to>
      <xdr:col>13</xdr:col>
      <xdr:colOff>127001</xdr:colOff>
      <xdr:row>29</xdr:row>
      <xdr:rowOff>137584</xdr:rowOff>
    </xdr:to>
    <xdr:sp macro="" textlink="">
      <xdr:nvSpPr>
        <xdr:cNvPr id="14" name="Rectangle: Rounded Corners 13">
          <a:extLst>
            <a:ext uri="{FF2B5EF4-FFF2-40B4-BE49-F238E27FC236}">
              <a16:creationId xmlns:a16="http://schemas.microsoft.com/office/drawing/2014/main" id="{96713A24-559F-3FD8-63DD-F785F5AD5AC3}"/>
            </a:ext>
          </a:extLst>
        </xdr:cNvPr>
        <xdr:cNvSpPr/>
      </xdr:nvSpPr>
      <xdr:spPr>
        <a:xfrm>
          <a:off x="1566334" y="2698750"/>
          <a:ext cx="6540500" cy="29633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twoCellAnchor>
    <xdr:from>
      <xdr:col>13</xdr:col>
      <xdr:colOff>162983</xdr:colOff>
      <xdr:row>14</xdr:row>
      <xdr:rowOff>21168</xdr:rowOff>
    </xdr:from>
    <xdr:to>
      <xdr:col>18</xdr:col>
      <xdr:colOff>476250</xdr:colOff>
      <xdr:row>29</xdr:row>
      <xdr:rowOff>137585</xdr:rowOff>
    </xdr:to>
    <xdr:sp macro="" textlink="">
      <xdr:nvSpPr>
        <xdr:cNvPr id="15" name="Rectangle: Rounded Corners 14">
          <a:extLst>
            <a:ext uri="{FF2B5EF4-FFF2-40B4-BE49-F238E27FC236}">
              <a16:creationId xmlns:a16="http://schemas.microsoft.com/office/drawing/2014/main" id="{195FFC12-1523-7D2D-D135-913583B1A1A5}"/>
            </a:ext>
          </a:extLst>
        </xdr:cNvPr>
        <xdr:cNvSpPr/>
      </xdr:nvSpPr>
      <xdr:spPr>
        <a:xfrm>
          <a:off x="8142816" y="2688168"/>
          <a:ext cx="3382434" cy="29739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twoCellAnchor>
    <xdr:from>
      <xdr:col>18</xdr:col>
      <xdr:colOff>508000</xdr:colOff>
      <xdr:row>0</xdr:row>
      <xdr:rowOff>81492</xdr:rowOff>
    </xdr:from>
    <xdr:to>
      <xdr:col>22</xdr:col>
      <xdr:colOff>381004</xdr:colOff>
      <xdr:row>29</xdr:row>
      <xdr:rowOff>95249</xdr:rowOff>
    </xdr:to>
    <xdr:sp macro="" textlink="">
      <xdr:nvSpPr>
        <xdr:cNvPr id="16" name="Rectangle: Rounded Corners 15">
          <a:extLst>
            <a:ext uri="{FF2B5EF4-FFF2-40B4-BE49-F238E27FC236}">
              <a16:creationId xmlns:a16="http://schemas.microsoft.com/office/drawing/2014/main" id="{BCDE0C3F-C84B-6E2E-0EEF-B30FB44CBAFD}"/>
            </a:ext>
          </a:extLst>
        </xdr:cNvPr>
        <xdr:cNvSpPr/>
      </xdr:nvSpPr>
      <xdr:spPr>
        <a:xfrm rot="16200000">
          <a:off x="9952040" y="1686452"/>
          <a:ext cx="5538257" cy="232833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twoCellAnchor>
    <xdr:from>
      <xdr:col>2</xdr:col>
      <xdr:colOff>330199</xdr:colOff>
      <xdr:row>4</xdr:row>
      <xdr:rowOff>171449</xdr:rowOff>
    </xdr:from>
    <xdr:to>
      <xdr:col>7</xdr:col>
      <xdr:colOff>349250</xdr:colOff>
      <xdr:row>13</xdr:row>
      <xdr:rowOff>179917</xdr:rowOff>
    </xdr:to>
    <xdr:sp macro="" textlink="">
      <xdr:nvSpPr>
        <xdr:cNvPr id="27" name="Rectangle: Rounded Corners 26">
          <a:extLst>
            <a:ext uri="{FF2B5EF4-FFF2-40B4-BE49-F238E27FC236}">
              <a16:creationId xmlns:a16="http://schemas.microsoft.com/office/drawing/2014/main" id="{6AB53B2D-5C84-FB19-A070-70F9DA27564F}"/>
            </a:ext>
          </a:extLst>
        </xdr:cNvPr>
        <xdr:cNvSpPr/>
      </xdr:nvSpPr>
      <xdr:spPr>
        <a:xfrm>
          <a:off x="1557866" y="933449"/>
          <a:ext cx="3088217" cy="172296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oudy Old Style" panose="02020502050305020303" pitchFamily="18" charset="0"/>
          </a:endParaRPr>
        </a:p>
        <a:p>
          <a:pPr algn="l"/>
          <a:endParaRPr lang="en-US" sz="2000" b="1">
            <a:solidFill>
              <a:schemeClr val="accent1">
                <a:lumMod val="50000"/>
              </a:schemeClr>
            </a:solidFill>
            <a:latin typeface="Garamond" panose="02020404030301010803" pitchFamily="18" charset="0"/>
          </a:endParaRPr>
        </a:p>
      </xdr:txBody>
    </xdr:sp>
    <xdr:clientData/>
  </xdr:twoCellAnchor>
  <xdr:twoCellAnchor>
    <xdr:from>
      <xdr:col>18</xdr:col>
      <xdr:colOff>497417</xdr:colOff>
      <xdr:row>6</xdr:row>
      <xdr:rowOff>0</xdr:rowOff>
    </xdr:from>
    <xdr:to>
      <xdr:col>22</xdr:col>
      <xdr:colOff>179918</xdr:colOff>
      <xdr:row>19</xdr:row>
      <xdr:rowOff>74083</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5E854676-989A-4063-9C65-BFDEA244B8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470217" y="1143000"/>
              <a:ext cx="2120901" cy="25505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592665</xdr:colOff>
      <xdr:row>14</xdr:row>
      <xdr:rowOff>148165</xdr:rowOff>
    </xdr:from>
    <xdr:to>
      <xdr:col>12</xdr:col>
      <xdr:colOff>455083</xdr:colOff>
      <xdr:row>28</xdr:row>
      <xdr:rowOff>158750</xdr:rowOff>
    </xdr:to>
    <xdr:graphicFrame macro="">
      <xdr:nvGraphicFramePr>
        <xdr:cNvPr id="31" name="Chart 30">
          <a:extLst>
            <a:ext uri="{FF2B5EF4-FFF2-40B4-BE49-F238E27FC236}">
              <a16:creationId xmlns:a16="http://schemas.microsoft.com/office/drawing/2014/main" id="{17FF2B42-13FB-4B34-A026-81F0D9DCC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554568</xdr:colOff>
      <xdr:row>1</xdr:row>
      <xdr:rowOff>99482</xdr:rowOff>
    </xdr:from>
    <xdr:ext cx="1618776" cy="323165"/>
    <xdr:sp macro="" textlink="">
      <xdr:nvSpPr>
        <xdr:cNvPr id="32" name="TextBox 31">
          <a:extLst>
            <a:ext uri="{FF2B5EF4-FFF2-40B4-BE49-F238E27FC236}">
              <a16:creationId xmlns:a16="http://schemas.microsoft.com/office/drawing/2014/main" id="{0E4FBE36-5FA7-BC71-A623-B8101E5F51C0}"/>
            </a:ext>
          </a:extLst>
        </xdr:cNvPr>
        <xdr:cNvSpPr txBox="1"/>
      </xdr:nvSpPr>
      <xdr:spPr>
        <a:xfrm>
          <a:off x="11603568" y="289982"/>
          <a:ext cx="1618776"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Sales</a:t>
          </a:r>
          <a:r>
            <a:rPr lang="en-US" sz="1600" b="1" baseline="0">
              <a:solidFill>
                <a:schemeClr val="accent1">
                  <a:lumMod val="50000"/>
                </a:schemeClr>
              </a:solidFill>
              <a:latin typeface="Garamond" panose="02020404030301010803" pitchFamily="18" charset="0"/>
            </a:rPr>
            <a:t> By City 30'</a:t>
          </a:r>
          <a:endParaRPr lang="en-US" sz="1600" b="1">
            <a:solidFill>
              <a:schemeClr val="accent1">
                <a:lumMod val="50000"/>
              </a:schemeClr>
            </a:solidFill>
            <a:latin typeface="Garamond" panose="02020404030301010803" pitchFamily="18" charset="0"/>
          </a:endParaRPr>
        </a:p>
      </xdr:txBody>
    </xdr:sp>
    <xdr:clientData/>
  </xdr:oneCellAnchor>
  <xdr:oneCellAnchor>
    <xdr:from>
      <xdr:col>34</xdr:col>
      <xdr:colOff>484719</xdr:colOff>
      <xdr:row>0</xdr:row>
      <xdr:rowOff>0</xdr:rowOff>
    </xdr:from>
    <xdr:ext cx="1618776" cy="321046"/>
    <xdr:sp macro="" textlink="">
      <xdr:nvSpPr>
        <xdr:cNvPr id="33" name="TextBox 32">
          <a:extLst>
            <a:ext uri="{FF2B5EF4-FFF2-40B4-BE49-F238E27FC236}">
              <a16:creationId xmlns:a16="http://schemas.microsoft.com/office/drawing/2014/main" id="{AB2D10E1-932B-22B5-8613-4707233E9B45}"/>
            </a:ext>
          </a:extLst>
        </xdr:cNvPr>
        <xdr:cNvSpPr txBox="1"/>
      </xdr:nvSpPr>
      <xdr:spPr>
        <a:xfrm>
          <a:off x="21355052" y="0"/>
          <a:ext cx="1618776" cy="3210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Sales</a:t>
          </a:r>
          <a:r>
            <a:rPr lang="en-US" sz="1600" b="1" baseline="0">
              <a:solidFill>
                <a:schemeClr val="accent1">
                  <a:lumMod val="50000"/>
                </a:schemeClr>
              </a:solidFill>
              <a:latin typeface="Garamond" panose="02020404030301010803" pitchFamily="18" charset="0"/>
            </a:rPr>
            <a:t> By City 30'</a:t>
          </a:r>
          <a:endParaRPr lang="en-US" sz="1600" b="1">
            <a:solidFill>
              <a:schemeClr val="accent1">
                <a:lumMod val="50000"/>
              </a:schemeClr>
            </a:solidFill>
            <a:latin typeface="Garamond" panose="02020404030301010803" pitchFamily="18" charset="0"/>
          </a:endParaRPr>
        </a:p>
      </xdr:txBody>
    </xdr:sp>
    <xdr:clientData/>
  </xdr:oneCellAnchor>
  <xdr:oneCellAnchor>
    <xdr:from>
      <xdr:col>2</xdr:col>
      <xdr:colOff>611718</xdr:colOff>
      <xdr:row>14</xdr:row>
      <xdr:rowOff>156631</xdr:rowOff>
    </xdr:from>
    <xdr:ext cx="2672526" cy="323165"/>
    <xdr:sp macro="" textlink="">
      <xdr:nvSpPr>
        <xdr:cNvPr id="34" name="TextBox 33">
          <a:extLst>
            <a:ext uri="{FF2B5EF4-FFF2-40B4-BE49-F238E27FC236}">
              <a16:creationId xmlns:a16="http://schemas.microsoft.com/office/drawing/2014/main" id="{9DD0AC0B-7E64-8F08-1B5C-25693BBAFDA7}"/>
            </a:ext>
          </a:extLst>
        </xdr:cNvPr>
        <xdr:cNvSpPr txBox="1"/>
      </xdr:nvSpPr>
      <xdr:spPr>
        <a:xfrm>
          <a:off x="1839385" y="2823631"/>
          <a:ext cx="2672526"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Sales</a:t>
          </a:r>
          <a:r>
            <a:rPr lang="en-US" sz="1600" b="1" baseline="0">
              <a:solidFill>
                <a:schemeClr val="accent1">
                  <a:lumMod val="50000"/>
                </a:schemeClr>
              </a:solidFill>
              <a:latin typeface="Garamond" panose="02020404030301010803" pitchFamily="18" charset="0"/>
            </a:rPr>
            <a:t> Trend for the year 2020</a:t>
          </a:r>
          <a:endParaRPr lang="en-US" sz="1600" b="1">
            <a:solidFill>
              <a:schemeClr val="accent1">
                <a:lumMod val="50000"/>
              </a:schemeClr>
            </a:solidFill>
            <a:latin typeface="Garamond" panose="02020404030301010803" pitchFamily="18" charset="0"/>
          </a:endParaRPr>
        </a:p>
      </xdr:txBody>
    </xdr:sp>
    <xdr:clientData/>
  </xdr:oneCellAnchor>
  <xdr:oneCellAnchor>
    <xdr:from>
      <xdr:col>2</xdr:col>
      <xdr:colOff>330199</xdr:colOff>
      <xdr:row>4</xdr:row>
      <xdr:rowOff>182034</xdr:rowOff>
    </xdr:from>
    <xdr:ext cx="2995372" cy="323165"/>
    <xdr:sp macro="" textlink="">
      <xdr:nvSpPr>
        <xdr:cNvPr id="35" name="TextBox 34">
          <a:extLst>
            <a:ext uri="{FF2B5EF4-FFF2-40B4-BE49-F238E27FC236}">
              <a16:creationId xmlns:a16="http://schemas.microsoft.com/office/drawing/2014/main" id="{08CB3232-D4DE-159E-22BB-466A4BE428DA}"/>
            </a:ext>
          </a:extLst>
        </xdr:cNvPr>
        <xdr:cNvSpPr txBox="1"/>
      </xdr:nvSpPr>
      <xdr:spPr>
        <a:xfrm>
          <a:off x="1557866" y="944034"/>
          <a:ext cx="2995372"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Top</a:t>
          </a:r>
          <a:r>
            <a:rPr lang="en-US" sz="1600" b="1" baseline="0">
              <a:solidFill>
                <a:schemeClr val="accent1">
                  <a:lumMod val="50000"/>
                </a:schemeClr>
              </a:solidFill>
              <a:latin typeface="Garamond" panose="02020404030301010803" pitchFamily="18" charset="0"/>
            </a:rPr>
            <a:t> Customers </a:t>
          </a:r>
          <a:r>
            <a:rPr lang="en-US" sz="1600" b="1" baseline="0">
              <a:solidFill>
                <a:schemeClr val="bg1">
                  <a:lumMod val="50000"/>
                </a:schemeClr>
              </a:solidFill>
              <a:latin typeface="Garamond" panose="02020404030301010803" pitchFamily="18" charset="0"/>
            </a:rPr>
            <a:t>for the year 2020</a:t>
          </a:r>
          <a:endParaRPr lang="en-US" sz="1600" b="1">
            <a:solidFill>
              <a:schemeClr val="bg1">
                <a:lumMod val="50000"/>
              </a:schemeClr>
            </a:solidFill>
            <a:latin typeface="Garamond" panose="02020404030301010803" pitchFamily="18" charset="0"/>
          </a:endParaRPr>
        </a:p>
      </xdr:txBody>
    </xdr:sp>
    <xdr:clientData/>
  </xdr:oneCellAnchor>
  <xdr:oneCellAnchor>
    <xdr:from>
      <xdr:col>1</xdr:col>
      <xdr:colOff>514352</xdr:colOff>
      <xdr:row>0</xdr:row>
      <xdr:rowOff>0</xdr:rowOff>
    </xdr:from>
    <xdr:ext cx="2576346" cy="0"/>
    <xdr:sp macro="" textlink="">
      <xdr:nvSpPr>
        <xdr:cNvPr id="36" name="TextBox 35">
          <a:extLst>
            <a:ext uri="{FF2B5EF4-FFF2-40B4-BE49-F238E27FC236}">
              <a16:creationId xmlns:a16="http://schemas.microsoft.com/office/drawing/2014/main" id="{F81419C4-8436-0694-70CD-1CC79FD9EF36}"/>
            </a:ext>
          </a:extLst>
        </xdr:cNvPr>
        <xdr:cNvSpPr txBox="1"/>
      </xdr:nvSpPr>
      <xdr:spPr>
        <a:xfrm>
          <a:off x="1128185" y="0"/>
          <a:ext cx="2576346" cy="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Sales</a:t>
          </a:r>
          <a:r>
            <a:rPr lang="en-US" sz="1600" b="1" baseline="0">
              <a:solidFill>
                <a:schemeClr val="accent1">
                  <a:lumMod val="50000"/>
                </a:schemeClr>
              </a:solidFill>
              <a:latin typeface="Garamond" panose="02020404030301010803" pitchFamily="18" charset="0"/>
            </a:rPr>
            <a:t> Trend for the Year 30'</a:t>
          </a:r>
          <a:endParaRPr lang="en-US" sz="1600" b="1">
            <a:solidFill>
              <a:schemeClr val="accent1">
                <a:lumMod val="50000"/>
              </a:schemeClr>
            </a:solidFill>
            <a:latin typeface="Garamond" panose="02020404030301010803" pitchFamily="18" charset="0"/>
          </a:endParaRPr>
        </a:p>
      </xdr:txBody>
    </xdr:sp>
    <xdr:clientData/>
  </xdr:oneCellAnchor>
  <xdr:oneCellAnchor>
    <xdr:from>
      <xdr:col>13</xdr:col>
      <xdr:colOff>239185</xdr:colOff>
      <xdr:row>4</xdr:row>
      <xdr:rowOff>143931</xdr:rowOff>
    </xdr:from>
    <xdr:ext cx="3151312" cy="323165"/>
    <xdr:sp macro="" textlink="">
      <xdr:nvSpPr>
        <xdr:cNvPr id="37" name="TextBox 36">
          <a:extLst>
            <a:ext uri="{FF2B5EF4-FFF2-40B4-BE49-F238E27FC236}">
              <a16:creationId xmlns:a16="http://schemas.microsoft.com/office/drawing/2014/main" id="{2D38939C-51CE-56B1-97AB-3CCC0EF7BE21}"/>
            </a:ext>
          </a:extLst>
        </xdr:cNvPr>
        <xdr:cNvSpPr txBox="1"/>
      </xdr:nvSpPr>
      <xdr:spPr>
        <a:xfrm>
          <a:off x="8219018" y="905931"/>
          <a:ext cx="3151312"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Top</a:t>
          </a:r>
          <a:r>
            <a:rPr lang="en-US" sz="1600" b="1" baseline="0">
              <a:solidFill>
                <a:schemeClr val="accent1">
                  <a:lumMod val="50000"/>
                </a:schemeClr>
              </a:solidFill>
              <a:latin typeface="Garamond" panose="02020404030301010803" pitchFamily="18" charset="0"/>
            </a:rPr>
            <a:t> salespersons </a:t>
          </a:r>
          <a:r>
            <a:rPr lang="en-US" sz="1600" b="1" baseline="0">
              <a:solidFill>
                <a:schemeClr val="bg1">
                  <a:lumMod val="75000"/>
                </a:schemeClr>
              </a:solidFill>
              <a:latin typeface="Garamond" panose="02020404030301010803" pitchFamily="18" charset="0"/>
            </a:rPr>
            <a:t>for the year 2020</a:t>
          </a:r>
          <a:endParaRPr lang="en-US" sz="1600" b="1">
            <a:solidFill>
              <a:schemeClr val="bg1">
                <a:lumMod val="75000"/>
              </a:schemeClr>
            </a:solidFill>
            <a:latin typeface="Garamond" panose="02020404030301010803" pitchFamily="18" charset="0"/>
          </a:endParaRPr>
        </a:p>
      </xdr:txBody>
    </xdr:sp>
    <xdr:clientData/>
  </xdr:oneCellAnchor>
  <xdr:oneCellAnchor>
    <xdr:from>
      <xdr:col>7</xdr:col>
      <xdr:colOff>508002</xdr:colOff>
      <xdr:row>5</xdr:row>
      <xdr:rowOff>21166</xdr:rowOff>
    </xdr:from>
    <xdr:ext cx="2824428" cy="323165"/>
    <xdr:sp macro="" textlink="">
      <xdr:nvSpPr>
        <xdr:cNvPr id="38" name="TextBox 37">
          <a:extLst>
            <a:ext uri="{FF2B5EF4-FFF2-40B4-BE49-F238E27FC236}">
              <a16:creationId xmlns:a16="http://schemas.microsoft.com/office/drawing/2014/main" id="{490522A6-4846-B971-5E80-84C167294CC9}"/>
            </a:ext>
          </a:extLst>
        </xdr:cNvPr>
        <xdr:cNvSpPr txBox="1"/>
      </xdr:nvSpPr>
      <xdr:spPr>
        <a:xfrm>
          <a:off x="4804835" y="973666"/>
          <a:ext cx="2824428" cy="32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1">
                  <a:lumMod val="50000"/>
                </a:schemeClr>
              </a:solidFill>
              <a:latin typeface="Garamond" panose="02020404030301010803" pitchFamily="18" charset="0"/>
            </a:rPr>
            <a:t>Top</a:t>
          </a:r>
          <a:r>
            <a:rPr lang="en-US" sz="1600" b="1" baseline="0">
              <a:solidFill>
                <a:schemeClr val="accent1">
                  <a:lumMod val="50000"/>
                </a:schemeClr>
              </a:solidFill>
              <a:latin typeface="Garamond" panose="02020404030301010803" pitchFamily="18" charset="0"/>
            </a:rPr>
            <a:t> products </a:t>
          </a:r>
          <a:r>
            <a:rPr lang="en-US" sz="1600" b="1" baseline="0">
              <a:solidFill>
                <a:schemeClr val="bg1">
                  <a:lumMod val="50000"/>
                </a:schemeClr>
              </a:solidFill>
              <a:latin typeface="Garamond" panose="02020404030301010803" pitchFamily="18" charset="0"/>
            </a:rPr>
            <a:t>for the year 2020</a:t>
          </a:r>
          <a:endParaRPr lang="en-US" sz="1600" b="1">
            <a:solidFill>
              <a:schemeClr val="bg1">
                <a:lumMod val="50000"/>
              </a:schemeClr>
            </a:solidFill>
            <a:latin typeface="Garamond" panose="02020404030301010803" pitchFamily="18" charset="0"/>
          </a:endParaRPr>
        </a:p>
      </xdr:txBody>
    </xdr:sp>
    <xdr:clientData/>
  </xdr:oneCellAnchor>
  <xdr:oneCellAnchor>
    <xdr:from>
      <xdr:col>13</xdr:col>
      <xdr:colOff>264591</xdr:colOff>
      <xdr:row>14</xdr:row>
      <xdr:rowOff>127005</xdr:rowOff>
    </xdr:from>
    <xdr:ext cx="3164392" cy="294311"/>
    <xdr:sp macro="" textlink="">
      <xdr:nvSpPr>
        <xdr:cNvPr id="39" name="TextBox 38">
          <a:extLst>
            <a:ext uri="{FF2B5EF4-FFF2-40B4-BE49-F238E27FC236}">
              <a16:creationId xmlns:a16="http://schemas.microsoft.com/office/drawing/2014/main" id="{C707EA39-A44B-77D4-02C5-C11FB4DEC0F7}"/>
            </a:ext>
          </a:extLst>
        </xdr:cNvPr>
        <xdr:cNvSpPr txBox="1"/>
      </xdr:nvSpPr>
      <xdr:spPr>
        <a:xfrm>
          <a:off x="8244424" y="2794005"/>
          <a:ext cx="3164392" cy="2943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1">
                  <a:lumMod val="50000"/>
                </a:schemeClr>
              </a:solidFill>
              <a:latin typeface="Garamond" panose="02020404030301010803" pitchFamily="18" charset="0"/>
            </a:rPr>
            <a:t>Regional</a:t>
          </a:r>
          <a:r>
            <a:rPr lang="en-US" sz="1400" b="1" baseline="0">
              <a:solidFill>
                <a:schemeClr val="accent1">
                  <a:lumMod val="50000"/>
                </a:schemeClr>
              </a:solidFill>
              <a:latin typeface="Garamond" panose="02020404030301010803" pitchFamily="18" charset="0"/>
            </a:rPr>
            <a:t> Performance for the year 2020</a:t>
          </a:r>
          <a:endParaRPr lang="en-US" sz="1400" b="1">
            <a:solidFill>
              <a:schemeClr val="accent1">
                <a:lumMod val="50000"/>
              </a:schemeClr>
            </a:solidFill>
            <a:latin typeface="Garamond" panose="02020404030301010803" pitchFamily="18" charset="0"/>
          </a:endParaRPr>
        </a:p>
      </xdr:txBody>
    </xdr:sp>
    <xdr:clientData/>
  </xdr:oneCellAnchor>
  <xdr:twoCellAnchor>
    <xdr:from>
      <xdr:col>12</xdr:col>
      <xdr:colOff>518581</xdr:colOff>
      <xdr:row>6</xdr:row>
      <xdr:rowOff>63500</xdr:rowOff>
    </xdr:from>
    <xdr:to>
      <xdr:col>18</xdr:col>
      <xdr:colOff>338667</xdr:colOff>
      <xdr:row>15</xdr:row>
      <xdr:rowOff>158750</xdr:rowOff>
    </xdr:to>
    <xdr:graphicFrame macro="">
      <xdr:nvGraphicFramePr>
        <xdr:cNvPr id="3" name="Chart 2">
          <a:extLst>
            <a:ext uri="{FF2B5EF4-FFF2-40B4-BE49-F238E27FC236}">
              <a16:creationId xmlns:a16="http://schemas.microsoft.com/office/drawing/2014/main" id="{179C31A0-8EBE-47BC-9E4B-D9957C6A8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495296</xdr:colOff>
      <xdr:row>5</xdr:row>
      <xdr:rowOff>103719</xdr:rowOff>
    </xdr:from>
    <xdr:to>
      <xdr:col>13</xdr:col>
      <xdr:colOff>10583</xdr:colOff>
      <xdr:row>13</xdr:row>
      <xdr:rowOff>116418</xdr:rowOff>
    </xdr:to>
    <xdr:graphicFrame macro="">
      <xdr:nvGraphicFramePr>
        <xdr:cNvPr id="4" name="Chart 3">
          <a:extLst>
            <a:ext uri="{FF2B5EF4-FFF2-40B4-BE49-F238E27FC236}">
              <a16:creationId xmlns:a16="http://schemas.microsoft.com/office/drawing/2014/main" id="{47E31CE6-7BF3-443C-9F61-49BD1BAA2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118528</xdr:colOff>
      <xdr:row>4</xdr:row>
      <xdr:rowOff>105833</xdr:rowOff>
    </xdr:from>
    <xdr:to>
      <xdr:col>7</xdr:col>
      <xdr:colOff>169334</xdr:colOff>
      <xdr:row>15</xdr:row>
      <xdr:rowOff>42333</xdr:rowOff>
    </xdr:to>
    <xdr:graphicFrame macro="">
      <xdr:nvGraphicFramePr>
        <xdr:cNvPr id="9" name="Chart 8">
          <a:extLst>
            <a:ext uri="{FF2B5EF4-FFF2-40B4-BE49-F238E27FC236}">
              <a16:creationId xmlns:a16="http://schemas.microsoft.com/office/drawing/2014/main" id="{C8D8A472-35B9-436A-B723-FC184F4F1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518584</xdr:colOff>
      <xdr:row>15</xdr:row>
      <xdr:rowOff>169333</xdr:rowOff>
    </xdr:from>
    <xdr:to>
      <xdr:col>18</xdr:col>
      <xdr:colOff>211667</xdr:colOff>
      <xdr:row>28</xdr:row>
      <xdr:rowOff>116416</xdr:rowOff>
    </xdr:to>
    <xdr:graphicFrame macro="">
      <xdr:nvGraphicFramePr>
        <xdr:cNvPr id="11" name="Chart 10">
          <a:extLst>
            <a:ext uri="{FF2B5EF4-FFF2-40B4-BE49-F238E27FC236}">
              <a16:creationId xmlns:a16="http://schemas.microsoft.com/office/drawing/2014/main" id="{56342DFF-E6FF-437F-B835-A42227AF5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63500</xdr:colOff>
      <xdr:row>0</xdr:row>
      <xdr:rowOff>74083</xdr:rowOff>
    </xdr:from>
    <xdr:to>
      <xdr:col>2</xdr:col>
      <xdr:colOff>275166</xdr:colOff>
      <xdr:row>29</xdr:row>
      <xdr:rowOff>105832</xdr:rowOff>
    </xdr:to>
    <xdr:sp macro="" textlink="">
      <xdr:nvSpPr>
        <xdr:cNvPr id="17" name="Rectangle: Rounded Corners 16">
          <a:extLst>
            <a:ext uri="{FF2B5EF4-FFF2-40B4-BE49-F238E27FC236}">
              <a16:creationId xmlns:a16="http://schemas.microsoft.com/office/drawing/2014/main" id="{562F811C-5586-C13E-1661-132ED5626D7C}"/>
            </a:ext>
          </a:extLst>
        </xdr:cNvPr>
        <xdr:cNvSpPr/>
      </xdr:nvSpPr>
      <xdr:spPr>
        <a:xfrm>
          <a:off x="63500" y="74083"/>
          <a:ext cx="1439333" cy="5556249"/>
        </a:xfrm>
        <a:prstGeom prst="round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100">
              <a:solidFill>
                <a:schemeClr val="accent5">
                  <a:lumMod val="50000"/>
                </a:schemeClr>
              </a:solidFill>
            </a:rPr>
            <a:t>  </a:t>
          </a:r>
          <a:r>
            <a:rPr lang="en-US" sz="1100" baseline="0">
              <a:solidFill>
                <a:schemeClr val="accent5">
                  <a:lumMod val="50000"/>
                </a:schemeClr>
              </a:solidFill>
            </a:rPr>
            <a:t>      INSIGHTS</a:t>
          </a:r>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r>
            <a:rPr lang="en-US" sz="1100">
              <a:solidFill>
                <a:schemeClr val="accent5">
                  <a:lumMod val="50000"/>
                </a:schemeClr>
              </a:solidFill>
            </a:rPr>
            <a:t>    OBSERVATION</a:t>
          </a:r>
        </a:p>
        <a:p>
          <a:pPr algn="l"/>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endParaRPr lang="en-US" sz="1100">
            <a:solidFill>
              <a:schemeClr val="accent5">
                <a:lumMod val="50000"/>
              </a:schemeClr>
            </a:solidFill>
          </a:endParaRPr>
        </a:p>
        <a:p>
          <a:pPr algn="l"/>
          <a:r>
            <a:rPr lang="en-US" sz="1100">
              <a:solidFill>
                <a:schemeClr val="accent5">
                  <a:lumMod val="50000"/>
                </a:schemeClr>
              </a:solidFill>
            </a:rPr>
            <a:t>  CONTACT US @</a:t>
          </a:r>
        </a:p>
      </xdr:txBody>
    </xdr:sp>
    <xdr:clientData/>
  </xdr:twoCellAnchor>
  <xdr:twoCellAnchor editAs="oneCell">
    <xdr:from>
      <xdr:col>0</xdr:col>
      <xdr:colOff>433917</xdr:colOff>
      <xdr:row>5</xdr:row>
      <xdr:rowOff>137583</xdr:rowOff>
    </xdr:from>
    <xdr:to>
      <xdr:col>1</xdr:col>
      <xdr:colOff>487596</xdr:colOff>
      <xdr:row>9</xdr:row>
      <xdr:rowOff>43095</xdr:rowOff>
    </xdr:to>
    <xdr:pic>
      <xdr:nvPicPr>
        <xdr:cNvPr id="21" name="Graphic 20" descr="Lightbulb and gear with solid fill">
          <a:extLst>
            <a:ext uri="{FF2B5EF4-FFF2-40B4-BE49-F238E27FC236}">
              <a16:creationId xmlns:a16="http://schemas.microsoft.com/office/drawing/2014/main" id="{CE1FAA6A-DEFB-418A-8C16-4854DA13A34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33917" y="1090083"/>
          <a:ext cx="667512" cy="667512"/>
        </a:xfrm>
        <a:prstGeom prst="rect">
          <a:avLst/>
        </a:prstGeom>
      </xdr:spPr>
    </xdr:pic>
    <xdr:clientData/>
  </xdr:twoCellAnchor>
  <xdr:twoCellAnchor editAs="oneCell">
    <xdr:from>
      <xdr:col>0</xdr:col>
      <xdr:colOff>338667</xdr:colOff>
      <xdr:row>11</xdr:row>
      <xdr:rowOff>95250</xdr:rowOff>
    </xdr:from>
    <xdr:to>
      <xdr:col>1</xdr:col>
      <xdr:colOff>392346</xdr:colOff>
      <xdr:row>15</xdr:row>
      <xdr:rowOff>762</xdr:rowOff>
    </xdr:to>
    <xdr:pic>
      <xdr:nvPicPr>
        <xdr:cNvPr id="22" name="Graphic 21" descr="Questions with solid fill">
          <a:extLst>
            <a:ext uri="{FF2B5EF4-FFF2-40B4-BE49-F238E27FC236}">
              <a16:creationId xmlns:a16="http://schemas.microsoft.com/office/drawing/2014/main" id="{CC653D99-DA16-48F7-9FA7-9A7BF26F0E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8667" y="2190750"/>
          <a:ext cx="667512" cy="667512"/>
        </a:xfrm>
        <a:prstGeom prst="rect">
          <a:avLst/>
        </a:prstGeom>
      </xdr:spPr>
    </xdr:pic>
    <xdr:clientData/>
  </xdr:twoCellAnchor>
  <xdr:twoCellAnchor editAs="oneCell">
    <xdr:from>
      <xdr:col>0</xdr:col>
      <xdr:colOff>338667</xdr:colOff>
      <xdr:row>16</xdr:row>
      <xdr:rowOff>84664</xdr:rowOff>
    </xdr:from>
    <xdr:to>
      <xdr:col>1</xdr:col>
      <xdr:colOff>392346</xdr:colOff>
      <xdr:row>19</xdr:row>
      <xdr:rowOff>180676</xdr:rowOff>
    </xdr:to>
    <xdr:pic>
      <xdr:nvPicPr>
        <xdr:cNvPr id="23" name="Graphic 22" descr="Email with solid fill">
          <a:extLst>
            <a:ext uri="{FF2B5EF4-FFF2-40B4-BE49-F238E27FC236}">
              <a16:creationId xmlns:a16="http://schemas.microsoft.com/office/drawing/2014/main" id="{24CE9141-DED9-4F54-B648-F4312212759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38667" y="3132664"/>
          <a:ext cx="667512" cy="667512"/>
        </a:xfrm>
        <a:prstGeom prst="rect">
          <a:avLst/>
        </a:prstGeom>
      </xdr:spPr>
    </xdr:pic>
    <xdr:clientData/>
  </xdr:twoCellAnchor>
  <xdr:twoCellAnchor editAs="oneCell">
    <xdr:from>
      <xdr:col>0</xdr:col>
      <xdr:colOff>158752</xdr:colOff>
      <xdr:row>22</xdr:row>
      <xdr:rowOff>95249</xdr:rowOff>
    </xdr:from>
    <xdr:to>
      <xdr:col>2</xdr:col>
      <xdr:colOff>190501</xdr:colOff>
      <xdr:row>29</xdr:row>
      <xdr:rowOff>21166</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8EC90C08-D862-1D3D-929A-C1DA5E1AED4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8752" y="4286249"/>
              <a:ext cx="1259416" cy="1259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31750</xdr:colOff>
      <xdr:row>6</xdr:row>
      <xdr:rowOff>0</xdr:rowOff>
    </xdr:to>
    <xdr:pic>
      <xdr:nvPicPr>
        <xdr:cNvPr id="19" name="Picture 18">
          <a:extLst>
            <a:ext uri="{FF2B5EF4-FFF2-40B4-BE49-F238E27FC236}">
              <a16:creationId xmlns:a16="http://schemas.microsoft.com/office/drawing/2014/main" id="{66FA4712-2523-CA4A-48D9-14F5C5FC6DAD}"/>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0" y="0"/>
          <a:ext cx="187325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104775</xdr:colOff>
      <xdr:row>1</xdr:row>
      <xdr:rowOff>57150</xdr:rowOff>
    </xdr:from>
    <xdr:to>
      <xdr:col>8</xdr:col>
      <xdr:colOff>228600</xdr:colOff>
      <xdr:row>22</xdr:row>
      <xdr:rowOff>85726</xdr:rowOff>
    </xdr:to>
    <xdr:sp macro="" textlink="">
      <xdr:nvSpPr>
        <xdr:cNvPr id="2" name="Rectangle: Rounded Corners 1">
          <a:extLst>
            <a:ext uri="{FF2B5EF4-FFF2-40B4-BE49-F238E27FC236}">
              <a16:creationId xmlns:a16="http://schemas.microsoft.com/office/drawing/2014/main" id="{10A1F447-8EFA-9883-6A8A-C684CDE834B3}"/>
            </a:ext>
          </a:extLst>
        </xdr:cNvPr>
        <xdr:cNvSpPr/>
      </xdr:nvSpPr>
      <xdr:spPr>
        <a:xfrm>
          <a:off x="104775" y="247650"/>
          <a:ext cx="5000625" cy="40290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SALES PERSON CONTEXT</a:t>
          </a:r>
        </a:p>
        <a:p>
          <a:pPr algn="ctr"/>
          <a:endParaRPr lang="en-US" sz="1100" baseline="0"/>
        </a:p>
        <a:p>
          <a:pPr algn="l"/>
          <a:r>
            <a:rPr lang="en-US" sz="1100" b="1" baseline="0"/>
            <a:t>Andrew Cencini</a:t>
          </a:r>
        </a:p>
        <a:p>
          <a:pPr algn="l"/>
          <a:r>
            <a:rPr lang="en-US" sz="1100" b="1" baseline="0"/>
            <a:t>Sales Trend Report</a:t>
          </a:r>
          <a:r>
            <a:rPr lang="en-US" sz="1100" baseline="0"/>
            <a:t>: Andrew has the highest sales trend in the month of june generating the sum of revenue $11,595.00.</a:t>
          </a:r>
        </a:p>
        <a:p>
          <a:pPr algn="l"/>
          <a:r>
            <a:rPr lang="en-US" sz="1100" b="1" baseline="0"/>
            <a:t>Performance by State: </a:t>
          </a:r>
          <a:r>
            <a:rPr lang="en-US" sz="1100" baseline="0"/>
            <a:t>He did so well in New York amidst others generating the sum of $67,180.50.</a:t>
          </a:r>
        </a:p>
        <a:p>
          <a:pPr algn="l"/>
          <a:r>
            <a:rPr lang="en-US" sz="1100" b="1" baseline="0"/>
            <a:t>Top Six ship Cities by Revenue: </a:t>
          </a:r>
          <a:r>
            <a:rPr lang="en-US" sz="1100" baseline="0"/>
            <a:t>New York has the obvious appearance of the top six ship city with  the sum of revenue $67,180.50.</a:t>
          </a:r>
        </a:p>
        <a:p>
          <a:pPr algn="l"/>
          <a:r>
            <a:rPr lang="en-US" sz="1100" b="1" baseline="0"/>
            <a:t>Region Performers: </a:t>
          </a:r>
          <a:r>
            <a:rPr lang="en-US" sz="1100" baseline="0"/>
            <a:t>Andrew perform specifically in the east region with  the sum of revenue $67,181.</a:t>
          </a:r>
        </a:p>
        <a:p>
          <a:pPr algn="l"/>
          <a:r>
            <a:rPr lang="en-US" sz="1100" b="1" baseline="0"/>
            <a:t>Transaction by amount: </a:t>
          </a:r>
          <a:r>
            <a:rPr lang="en-US" sz="1100" baseline="0"/>
            <a:t>The Highest Transaction by amount he could comeup with falls within the range of $10-$1010 having the count of 15 revenue transactions</a:t>
          </a:r>
        </a:p>
        <a:p>
          <a:pPr algn="l"/>
          <a:r>
            <a:rPr lang="en-US" sz="1100" b="1" baseline="0"/>
            <a:t>Sales by product Category: </a:t>
          </a:r>
          <a:r>
            <a:rPr lang="en-US" sz="1100" baseline="0"/>
            <a:t>Has the highest  sales in  Jams, preserves generating the sum of $41,391.00 and the lowest sales in baked goods and milks generating thesum of $2,116.00</a:t>
          </a:r>
        </a:p>
        <a:p>
          <a:pPr algn="l"/>
          <a:r>
            <a:rPr lang="en-US" sz="1100" b="1" baseline="0"/>
            <a:t>Sales Performance Analysis: </a:t>
          </a:r>
          <a:r>
            <a:rPr lang="en-US" sz="1100" baseline="0"/>
            <a:t>Andrew Cencini with the sum of revenue $67,181.</a:t>
          </a:r>
        </a:p>
        <a:p>
          <a:pPr algn="l"/>
          <a:r>
            <a:rPr lang="en-US" sz="1100" b="1" baseline="0"/>
            <a:t>Top ten customer</a:t>
          </a:r>
          <a:r>
            <a:rPr lang="en-US" sz="1100" baseline="0"/>
            <a:t>: Company D emerged as the top customer for Andrew Cencini.</a:t>
          </a:r>
        </a:p>
        <a:p>
          <a:pPr algn="ctr"/>
          <a:endParaRPr lang="en-US" sz="1100"/>
        </a:p>
      </xdr:txBody>
    </xdr:sp>
    <xdr:clientData/>
  </xdr:twoCellAnchor>
  <xdr:twoCellAnchor>
    <xdr:from>
      <xdr:col>42</xdr:col>
      <xdr:colOff>66675</xdr:colOff>
      <xdr:row>0</xdr:row>
      <xdr:rowOff>114300</xdr:rowOff>
    </xdr:from>
    <xdr:to>
      <xdr:col>50</xdr:col>
      <xdr:colOff>114300</xdr:colOff>
      <xdr:row>22</xdr:row>
      <xdr:rowOff>19050</xdr:rowOff>
    </xdr:to>
    <xdr:sp macro="" textlink="">
      <xdr:nvSpPr>
        <xdr:cNvPr id="8" name="Rectangle: Rounded Corners 7">
          <a:extLst>
            <a:ext uri="{FF2B5EF4-FFF2-40B4-BE49-F238E27FC236}">
              <a16:creationId xmlns:a16="http://schemas.microsoft.com/office/drawing/2014/main" id="{B2C6E00D-74AE-4760-AAF3-0AE605B09F05}"/>
            </a:ext>
          </a:extLst>
        </xdr:cNvPr>
        <xdr:cNvSpPr/>
      </xdr:nvSpPr>
      <xdr:spPr>
        <a:xfrm>
          <a:off x="25669875" y="114300"/>
          <a:ext cx="4924425" cy="4095750"/>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Anne Larsen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Anne has the highest sales trend in the month of december generating the sum of revenue $12,458.47 and has the lowest sales trend in september with $4,62.11.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She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Miami has the obvious appearance of the top ship city with  the sum of revenue $50,145.33.</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Anne perform specifically in the south region with  the sum of revenue $93,858.</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she could come up with falls within the range of $10-$1010 having the count of 50 revenue transactions.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beverages generating the sum of $29,278.08 and the lowest sales in dried fruits and nuts generating thesum of $1,687.00.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Anne Larsen with the sum of revenue $93,858.</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BB emerged as the top customer for Andrew Cencini, followed by company Z, then followed by company K.</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8</xdr:col>
      <xdr:colOff>352425</xdr:colOff>
      <xdr:row>1</xdr:row>
      <xdr:rowOff>9525</xdr:rowOff>
    </xdr:from>
    <xdr:to>
      <xdr:col>16</xdr:col>
      <xdr:colOff>400050</xdr:colOff>
      <xdr:row>22</xdr:row>
      <xdr:rowOff>104775</xdr:rowOff>
    </xdr:to>
    <xdr:sp macro="" textlink="">
      <xdr:nvSpPr>
        <xdr:cNvPr id="9" name="Rectangle: Rounded Corners 8">
          <a:extLst>
            <a:ext uri="{FF2B5EF4-FFF2-40B4-BE49-F238E27FC236}">
              <a16:creationId xmlns:a16="http://schemas.microsoft.com/office/drawing/2014/main" id="{756BA585-6C15-D13B-7261-D8422A137DE9}"/>
            </a:ext>
          </a:extLst>
        </xdr:cNvPr>
        <xdr:cNvSpPr/>
      </xdr:nvSpPr>
      <xdr:spPr>
        <a:xfrm>
          <a:off x="5229225" y="200025"/>
          <a:ext cx="4924425" cy="4095750"/>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Jan Kotas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Jan has the highest sales trend in the month of june generating the sum of revenue $4,928.00 and has the lowest sales trend in july with $322.00.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She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Denver has the obvious appearance of the top ship city with  the sum of revenue $16,350.5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Jan perform specifically in the west region with  the sum of revenue $16,351.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she could come up with falls within the range of $10-$1010 having the count of 9 revenue transactions.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beverages generating the sum of $6,986.00, followed by fruits and veg with the sum of 6,942.00, followed by candy with the sum of 2,422.50.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Jan Kotas with the sum of revenue $16,351.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CC emerged as the top customer for Jan Kotas.</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33</xdr:col>
      <xdr:colOff>514350</xdr:colOff>
      <xdr:row>0</xdr:row>
      <xdr:rowOff>133350</xdr:rowOff>
    </xdr:from>
    <xdr:to>
      <xdr:col>41</xdr:col>
      <xdr:colOff>561975</xdr:colOff>
      <xdr:row>24</xdr:row>
      <xdr:rowOff>0</xdr:rowOff>
    </xdr:to>
    <xdr:sp macro="" textlink="">
      <xdr:nvSpPr>
        <xdr:cNvPr id="10" name="Rectangle: Rounded Corners 9">
          <a:extLst>
            <a:ext uri="{FF2B5EF4-FFF2-40B4-BE49-F238E27FC236}">
              <a16:creationId xmlns:a16="http://schemas.microsoft.com/office/drawing/2014/main" id="{71C90CAF-2955-4CED-6D55-73DE66A58506}"/>
            </a:ext>
          </a:extLst>
        </xdr:cNvPr>
        <xdr:cNvSpPr/>
      </xdr:nvSpPr>
      <xdr:spPr>
        <a:xfrm>
          <a:off x="20631150" y="133350"/>
          <a:ext cx="4924425" cy="4438650"/>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Laura Giussani</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Laura has the highest sales trend in the month of june generating the sum of revenue $6,700.60, followed by december with the sum of revenue $6,617.69.</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She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Chicago peaked the top six ship cities by revenue with the sum of $41,095.01.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Jan perform specifically in the east region with  the sum of revenue $41,095.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she could come up with falls within the range of $10-$1010 having the count of 49 revenue transactions and the least falls within the range $2010-$3010 with the count of 5 revenue transactions.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beverages generating the sum of $6,986.00, followed by fruits and veg with the sum of 6,942.00, followed by candy with the sum of 2,422.50.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Laura Giussani with the sum of revenue $41,095.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J and company Y emerged as the top customer for Laura Guissani.</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50</xdr:col>
      <xdr:colOff>209550</xdr:colOff>
      <xdr:row>0</xdr:row>
      <xdr:rowOff>95249</xdr:rowOff>
    </xdr:from>
    <xdr:to>
      <xdr:col>58</xdr:col>
      <xdr:colOff>257175</xdr:colOff>
      <xdr:row>25</xdr:row>
      <xdr:rowOff>161925</xdr:rowOff>
    </xdr:to>
    <xdr:sp macro="" textlink="">
      <xdr:nvSpPr>
        <xdr:cNvPr id="3" name="Rectangle: Rounded Corners 2">
          <a:extLst>
            <a:ext uri="{FF2B5EF4-FFF2-40B4-BE49-F238E27FC236}">
              <a16:creationId xmlns:a16="http://schemas.microsoft.com/office/drawing/2014/main" id="{972AEAA7-1917-9F61-214E-2F38C0C4B198}"/>
            </a:ext>
          </a:extLst>
        </xdr:cNvPr>
        <xdr:cNvSpPr/>
      </xdr:nvSpPr>
      <xdr:spPr>
        <a:xfrm>
          <a:off x="30689550" y="95249"/>
          <a:ext cx="4924425" cy="4829176"/>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Mariya Sergienko</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Mariya has the highest sales trend in the month of december generating the sum of revenue $7,653.16 and has the lowest sales trend in november with $1,320.00, also has low sales in june unlike the rest of the salesperson.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She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Los Angelas has the obvious appearance of the top ship city with  the sum of revenue $27,005.38, followed by Las Vegas with $15,365.5.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Mariya perform specifically in the west region with  the sum of revenue $42,371.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she could come up with falls within the range of $10-$1010 having the count of 23 revenue transactions, and the least  falls within the range of $4010-$5010 having the count of 1 revenue transaction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sauces generating the sum of $18,080.00 followed by beverages, soup, and dried fruits and nut.</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Mariya Sergienko with the sum of revenue $42,371.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C with $27,005 emerged as the top customer for Mariya Sergienko, followed by company L, then followed by company AA.</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58</xdr:col>
      <xdr:colOff>390525</xdr:colOff>
      <xdr:row>0</xdr:row>
      <xdr:rowOff>85723</xdr:rowOff>
    </xdr:from>
    <xdr:to>
      <xdr:col>66</xdr:col>
      <xdr:colOff>581025</xdr:colOff>
      <xdr:row>24</xdr:row>
      <xdr:rowOff>28575</xdr:rowOff>
    </xdr:to>
    <xdr:sp macro="" textlink="">
      <xdr:nvSpPr>
        <xdr:cNvPr id="4" name="Rectangle: Rounded Corners 3">
          <a:extLst>
            <a:ext uri="{FF2B5EF4-FFF2-40B4-BE49-F238E27FC236}">
              <a16:creationId xmlns:a16="http://schemas.microsoft.com/office/drawing/2014/main" id="{44FD3BF1-587D-AFFC-87A4-FFBDB7CBC611}"/>
            </a:ext>
          </a:extLst>
        </xdr:cNvPr>
        <xdr:cNvSpPr/>
      </xdr:nvSpPr>
      <xdr:spPr>
        <a:xfrm>
          <a:off x="35747325" y="85723"/>
          <a:ext cx="5067300" cy="4514852"/>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Micheal Neipper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Micheal has the highest sales trend in the month of october generating the sum of revenue $6,738.50, there is a sharp increase in sales from september to october.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Milwaukee peak the ship city by revenue with $37,428.00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Micheal perform specifically in the north region with  the sum of revenue $37,428.</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he could come up with falls within the range of $10-$1010 having the count of 22 revenue transactions, and the least  falls within the range of $3010-$4010 having the count of 1 revenue transaction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beverages generating the sum of $10,178.00 followed by sauces, candy, dried fruits and nut, and shipping fee.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Micheal Neipper with the sum of revenue $37,428.</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F with $37,428. emerged as the top customer for Micheal Neipper.</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16</xdr:col>
      <xdr:colOff>542925</xdr:colOff>
      <xdr:row>0</xdr:row>
      <xdr:rowOff>104773</xdr:rowOff>
    </xdr:from>
    <xdr:to>
      <xdr:col>25</xdr:col>
      <xdr:colOff>123825</xdr:colOff>
      <xdr:row>24</xdr:row>
      <xdr:rowOff>47625</xdr:rowOff>
    </xdr:to>
    <xdr:sp macro="" textlink="">
      <xdr:nvSpPr>
        <xdr:cNvPr id="5" name="Rectangle: Rounded Corners 4">
          <a:extLst>
            <a:ext uri="{FF2B5EF4-FFF2-40B4-BE49-F238E27FC236}">
              <a16:creationId xmlns:a16="http://schemas.microsoft.com/office/drawing/2014/main" id="{A49B51DF-257F-7C2C-9D46-2E5B62B49EA8}"/>
            </a:ext>
          </a:extLst>
        </xdr:cNvPr>
        <xdr:cNvSpPr/>
      </xdr:nvSpPr>
      <xdr:spPr>
        <a:xfrm>
          <a:off x="10296525" y="104773"/>
          <a:ext cx="5067300" cy="4514852"/>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Nancy Freehafer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Nancy has the highest sales trend in the month of december generating the sum of revenue $16,173.56, and the least sales in february with $1,694.95.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She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Portland peak the ship city by revenue with $37,428.00, followed by seattle, and then boise.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Nancy perform specifically in the north region with  the sum of revenue $104,252.</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she could come up with falls within the range of $10-$1010 having the count of 45 revenue transactions, and the least  falls within the range of $4010-$5010 having the count of 2 revenue transactions.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beverages generating the sum of $47,695.99 followed by sauces, dairy product, canned meat, candy and baked goods and mixes.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Nancy Freehafer with the sum of revenue $104,252.</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H with $50,208 emerged as the top customer followed by company A, and then company G.</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25</xdr:col>
      <xdr:colOff>247650</xdr:colOff>
      <xdr:row>0</xdr:row>
      <xdr:rowOff>95248</xdr:rowOff>
    </xdr:from>
    <xdr:to>
      <xdr:col>33</xdr:col>
      <xdr:colOff>438150</xdr:colOff>
      <xdr:row>24</xdr:row>
      <xdr:rowOff>38100</xdr:rowOff>
    </xdr:to>
    <xdr:sp macro="" textlink="">
      <xdr:nvSpPr>
        <xdr:cNvPr id="7" name="Rectangle: Rounded Corners 6">
          <a:extLst>
            <a:ext uri="{FF2B5EF4-FFF2-40B4-BE49-F238E27FC236}">
              <a16:creationId xmlns:a16="http://schemas.microsoft.com/office/drawing/2014/main" id="{92FB83A7-785D-BD38-FAD7-04D438234765}"/>
            </a:ext>
          </a:extLst>
        </xdr:cNvPr>
        <xdr:cNvSpPr/>
      </xdr:nvSpPr>
      <xdr:spPr>
        <a:xfrm>
          <a:off x="15487650" y="95248"/>
          <a:ext cx="5067300" cy="4514852"/>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SALES PERSON CONTEXT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Robert Zare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Trend Report: Roberthas the highest sales trend in the month of october generating the sum of revenue $4,542.85 and the least sales in february with $260.55</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Performance by State: She did so well in New York amidst others generating the sum of $67,180.50.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Six ship Cities by Revenue: Salt lake city peak the ship city by revenue with $32,530.6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Region Performers: Robert perform specifically in the west region with  the sum of revenue $32,531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Transaction by amount: The Highest Transaction by amount he could come up with falls within the range of $10-$1010 having the count of 11 revenue transactions.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by product Category: Has the highest  sales in dairy product generating the sum of $18,444.00</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Sales Performance Analysis: Robert Freehafer with the sum of revenue $32,531</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Top ten customer: Company I emerged as the top customer with $32,531</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0</xdr:col>
      <xdr:colOff>171450</xdr:colOff>
      <xdr:row>23</xdr:row>
      <xdr:rowOff>171449</xdr:rowOff>
    </xdr:from>
    <xdr:to>
      <xdr:col>8</xdr:col>
      <xdr:colOff>295275</xdr:colOff>
      <xdr:row>47</xdr:row>
      <xdr:rowOff>28574</xdr:rowOff>
    </xdr:to>
    <xdr:sp macro="" textlink="">
      <xdr:nvSpPr>
        <xdr:cNvPr id="12" name="Rectangle: Rounded Corners 11">
          <a:extLst>
            <a:ext uri="{FF2B5EF4-FFF2-40B4-BE49-F238E27FC236}">
              <a16:creationId xmlns:a16="http://schemas.microsoft.com/office/drawing/2014/main" id="{690D14AD-4BDB-7B2F-DD2D-7E4CF50F06AF}"/>
            </a:ext>
          </a:extLst>
        </xdr:cNvPr>
        <xdr:cNvSpPr/>
      </xdr:nvSpPr>
      <xdr:spPr>
        <a:xfrm>
          <a:off x="171450" y="4552949"/>
          <a:ext cx="5000625" cy="44291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REGION CONTEXT</a:t>
          </a:r>
        </a:p>
        <a:p>
          <a:pPr algn="ctr"/>
          <a:endParaRPr lang="en-US" sz="1100" baseline="0"/>
        </a:p>
        <a:p>
          <a:pPr algn="l"/>
          <a:r>
            <a:rPr lang="en-US" sz="1100" b="1" baseline="0"/>
            <a:t>EAST REGION</a:t>
          </a:r>
        </a:p>
        <a:p>
          <a:pPr algn="l"/>
          <a:r>
            <a:rPr lang="en-US" sz="1100" b="1" baseline="0"/>
            <a:t>Sales Trend Report</a:t>
          </a:r>
          <a:r>
            <a:rPr lang="en-US" sz="1100" baseline="0"/>
            <a:t>: East has the highest sales trend in the month of june generating the sum of revenue $18, 295.60, followed by december with $17,643.69 and the least month is april with $3,180.52</a:t>
          </a:r>
        </a:p>
        <a:p>
          <a:pPr algn="l"/>
          <a:r>
            <a:rPr lang="en-US" sz="1100" b="1" baseline="0"/>
            <a:t>Performance by State: </a:t>
          </a:r>
          <a:r>
            <a:rPr lang="en-US" sz="1100" b="0" baseline="0"/>
            <a:t>East</a:t>
          </a:r>
          <a:r>
            <a:rPr lang="en-US" sz="1100" baseline="0"/>
            <a:t> did so well in New York amidst others generating the sum of $67,180.50.</a:t>
          </a:r>
        </a:p>
        <a:p>
          <a:pPr algn="l"/>
          <a:r>
            <a:rPr lang="en-US" sz="1100" b="1" baseline="0"/>
            <a:t>Top Six ship Cities by Revenue: </a:t>
          </a:r>
          <a:r>
            <a:rPr lang="en-US" sz="1100" baseline="0"/>
            <a:t>New York has the obvious appearance of the top six ship city with  the sum of revenue $67,180.50, followed by chicago with the revenue $41,095.01</a:t>
          </a:r>
        </a:p>
        <a:p>
          <a:pPr algn="l"/>
          <a:r>
            <a:rPr lang="en-US" sz="1100" b="1" baseline="0"/>
            <a:t>Region Performers: </a:t>
          </a:r>
          <a:r>
            <a:rPr lang="en-US" sz="1100" b="0" baseline="0"/>
            <a:t>East region</a:t>
          </a:r>
          <a:endParaRPr lang="en-US" sz="1100" baseline="0"/>
        </a:p>
        <a:p>
          <a:pPr algn="l"/>
          <a:r>
            <a:rPr lang="en-US" sz="1100" b="1" baseline="0"/>
            <a:t>Transaction by amount: </a:t>
          </a:r>
          <a:r>
            <a:rPr lang="en-US" sz="1100" baseline="0"/>
            <a:t>The Highest Transaction by amount in the east falls within the range of $10-$1010 having the count of 61 revenue transactions, followed by $1010-$2010 with the count of 8 revenue transactions.</a:t>
          </a:r>
        </a:p>
        <a:p>
          <a:pPr algn="l"/>
          <a:r>
            <a:rPr lang="en-US" sz="1100" b="1" baseline="0"/>
            <a:t>Sales by product Category: </a:t>
          </a:r>
          <a:r>
            <a:rPr lang="en-US" sz="1100" baseline="0"/>
            <a:t>Has the highest  sales in  Jams, preserves generating the sum of $50,241.00 and the lowest sales in grains generating the sum of $2,884.00</a:t>
          </a:r>
        </a:p>
        <a:p>
          <a:pPr algn="l"/>
          <a:r>
            <a:rPr lang="en-US" sz="1100" b="1" baseline="0"/>
            <a:t>Sales Performance Analysis: </a:t>
          </a:r>
          <a:r>
            <a:rPr lang="en-US" sz="1100" baseline="0"/>
            <a:t>Andrew Cencini with the sum of revenue $67,181 and Laura Giussani with $41,095</a:t>
          </a:r>
        </a:p>
        <a:p>
          <a:pPr algn="l"/>
          <a:r>
            <a:rPr lang="en-US" sz="1100" b="1" baseline="0"/>
            <a:t>Top ten customer</a:t>
          </a:r>
          <a:r>
            <a:rPr lang="en-US" sz="1100" baseline="0"/>
            <a:t>: Company D emerged as the top customer  with $67,181, followed by company J and Y.</a:t>
          </a:r>
        </a:p>
        <a:p>
          <a:pPr algn="ctr"/>
          <a:endParaRPr lang="en-US" sz="1100"/>
        </a:p>
      </xdr:txBody>
    </xdr:sp>
    <xdr:clientData/>
  </xdr:twoCellAnchor>
  <xdr:twoCellAnchor>
    <xdr:from>
      <xdr:col>8</xdr:col>
      <xdr:colOff>342900</xdr:colOff>
      <xdr:row>23</xdr:row>
      <xdr:rowOff>142874</xdr:rowOff>
    </xdr:from>
    <xdr:to>
      <xdr:col>16</xdr:col>
      <xdr:colOff>466725</xdr:colOff>
      <xdr:row>46</xdr:row>
      <xdr:rowOff>190499</xdr:rowOff>
    </xdr:to>
    <xdr:sp macro="" textlink="">
      <xdr:nvSpPr>
        <xdr:cNvPr id="14" name="Rectangle: Rounded Corners 13">
          <a:extLst>
            <a:ext uri="{FF2B5EF4-FFF2-40B4-BE49-F238E27FC236}">
              <a16:creationId xmlns:a16="http://schemas.microsoft.com/office/drawing/2014/main" id="{188BAD9C-6170-17C2-6DE7-F0B40B862737}"/>
            </a:ext>
          </a:extLst>
        </xdr:cNvPr>
        <xdr:cNvSpPr/>
      </xdr:nvSpPr>
      <xdr:spPr>
        <a:xfrm>
          <a:off x="5219700" y="4524374"/>
          <a:ext cx="5000625" cy="44291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REGION CONTEXT</a:t>
          </a:r>
        </a:p>
        <a:p>
          <a:pPr algn="ctr"/>
          <a:endParaRPr lang="en-US" sz="1100" baseline="0"/>
        </a:p>
        <a:p>
          <a:pPr algn="l"/>
          <a:r>
            <a:rPr lang="en-US" sz="1100" b="1" baseline="0"/>
            <a:t>NORTH REGION</a:t>
          </a:r>
        </a:p>
        <a:p>
          <a:pPr algn="l"/>
          <a:r>
            <a:rPr lang="en-US" sz="1100" b="1" baseline="0"/>
            <a:t>Sales Trend Report</a:t>
          </a:r>
          <a:r>
            <a:rPr lang="en-US" sz="1100" baseline="0"/>
            <a:t>: North has the highest sales trend in the month of december generating the sum of revenue $21,873.31 followed by october with $21,424.25 and then followed by june with $15,620.89.</a:t>
          </a:r>
        </a:p>
        <a:p>
          <a:pPr algn="l"/>
          <a:r>
            <a:rPr lang="en-US" sz="1100" b="1" baseline="0"/>
            <a:t>Performance by State: </a:t>
          </a:r>
          <a:r>
            <a:rPr lang="en-US" sz="1100" b="0" baseline="0"/>
            <a:t>North region</a:t>
          </a:r>
          <a:r>
            <a:rPr lang="en-US" sz="1100" baseline="0"/>
            <a:t> did so well in New York amidst others generating the sum of $67,180.50.</a:t>
          </a:r>
        </a:p>
        <a:p>
          <a:pPr algn="l"/>
          <a:r>
            <a:rPr lang="en-US" sz="1100" b="1" baseline="0"/>
            <a:t>Top Six ship Cities by Revenue: </a:t>
          </a:r>
          <a:r>
            <a:rPr lang="en-US" sz="1100" b="0" baseline="0"/>
            <a:t>Portland peaked the top ship cities with $50,208.35.</a:t>
          </a:r>
          <a:endParaRPr lang="en-US" sz="1100" baseline="0"/>
        </a:p>
        <a:p>
          <a:pPr algn="l"/>
          <a:r>
            <a:rPr lang="en-US" sz="1100" b="1" baseline="0"/>
            <a:t>Region Performers: </a:t>
          </a:r>
          <a:r>
            <a:rPr lang="en-US" sz="1100" b="0" baseline="0"/>
            <a:t>North region.</a:t>
          </a:r>
          <a:endParaRPr lang="en-US" sz="1100" baseline="0"/>
        </a:p>
        <a:p>
          <a:pPr algn="l"/>
          <a:r>
            <a:rPr lang="en-US" sz="1100" b="1" baseline="0"/>
            <a:t>Transaction by amount: </a:t>
          </a:r>
          <a:r>
            <a:rPr lang="en-US" sz="1100" baseline="0"/>
            <a:t>The Highest Transaction by amount in the north falls within the range of $10-$1010 having the count of 67 revenue transactions, followed by $1010-$2010 with the count of 29 revenue transactions then followed by $2010-$3010 with the count of 9 revenue transactions.</a:t>
          </a:r>
        </a:p>
        <a:p>
          <a:pPr algn="l"/>
          <a:r>
            <a:rPr lang="en-US" sz="1100" b="1" baseline="0"/>
            <a:t>Sales by product Category: </a:t>
          </a:r>
          <a:r>
            <a:rPr lang="en-US" sz="1100" b="0" baseline="0"/>
            <a:t>North region has</a:t>
          </a:r>
          <a:r>
            <a:rPr lang="en-US" sz="1100" baseline="0"/>
            <a:t> the highest sales in beverage generating the sum of $57,873.99 and the lowest sales in canned meat generating the sum of $6,348.00</a:t>
          </a:r>
        </a:p>
        <a:p>
          <a:pPr algn="l"/>
          <a:r>
            <a:rPr lang="en-US" sz="1100" b="1" baseline="0"/>
            <a:t>Sales Performance Analysis: </a:t>
          </a:r>
          <a:r>
            <a:rPr lang="en-US" sz="1100" b="0" baseline="0"/>
            <a:t>Nancy Freehafer</a:t>
          </a:r>
          <a:r>
            <a:rPr lang="en-US" sz="1100" baseline="0"/>
            <a:t> with the sum of revenue $104,252 and Micheal Neipper with $37,428.</a:t>
          </a:r>
        </a:p>
        <a:p>
          <a:pPr algn="l"/>
          <a:r>
            <a:rPr lang="en-US" sz="1100" b="1" baseline="0"/>
            <a:t>Top ten customer</a:t>
          </a:r>
          <a:r>
            <a:rPr lang="en-US" sz="1100" baseline="0"/>
            <a:t>: Company H emerged as the top customer with $50,208 followed by company G with $17,204.</a:t>
          </a:r>
        </a:p>
        <a:p>
          <a:pPr algn="ctr"/>
          <a:endParaRPr lang="en-US" sz="1100"/>
        </a:p>
      </xdr:txBody>
    </xdr:sp>
    <xdr:clientData/>
  </xdr:twoCellAnchor>
  <xdr:twoCellAnchor>
    <xdr:from>
      <xdr:col>16</xdr:col>
      <xdr:colOff>561975</xdr:colOff>
      <xdr:row>24</xdr:row>
      <xdr:rowOff>133349</xdr:rowOff>
    </xdr:from>
    <xdr:to>
      <xdr:col>25</xdr:col>
      <xdr:colOff>76200</xdr:colOff>
      <xdr:row>47</xdr:row>
      <xdr:rowOff>180974</xdr:rowOff>
    </xdr:to>
    <xdr:sp macro="" textlink="">
      <xdr:nvSpPr>
        <xdr:cNvPr id="15" name="Rectangle: Rounded Corners 14">
          <a:extLst>
            <a:ext uri="{FF2B5EF4-FFF2-40B4-BE49-F238E27FC236}">
              <a16:creationId xmlns:a16="http://schemas.microsoft.com/office/drawing/2014/main" id="{B929C662-37AA-4CFC-7F22-17BD71D42BB6}"/>
            </a:ext>
          </a:extLst>
        </xdr:cNvPr>
        <xdr:cNvSpPr/>
      </xdr:nvSpPr>
      <xdr:spPr>
        <a:xfrm>
          <a:off x="10315575" y="4705349"/>
          <a:ext cx="5000625" cy="44291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REGION CONTEXT</a:t>
          </a:r>
        </a:p>
        <a:p>
          <a:pPr algn="ctr"/>
          <a:endParaRPr lang="en-US" sz="1100" baseline="0"/>
        </a:p>
        <a:p>
          <a:pPr algn="l"/>
          <a:r>
            <a:rPr lang="en-US" sz="1100" b="1" baseline="0"/>
            <a:t>SOUTH REGION</a:t>
          </a:r>
        </a:p>
        <a:p>
          <a:pPr algn="l"/>
          <a:r>
            <a:rPr lang="en-US" sz="1100" b="1" baseline="0"/>
            <a:t>Sales Trend Report</a:t>
          </a:r>
          <a:r>
            <a:rPr lang="en-US" sz="1100" baseline="0"/>
            <a:t>: There is a gradual increase in sales from october with $10,918.01, november with $11,479.70 and then to december with $12,458.47.</a:t>
          </a:r>
        </a:p>
        <a:p>
          <a:pPr algn="l"/>
          <a:r>
            <a:rPr lang="en-US" sz="1100" b="1" baseline="0"/>
            <a:t>Performance by State: </a:t>
          </a:r>
          <a:r>
            <a:rPr lang="en-US" sz="1100" b="0" baseline="0"/>
            <a:t>South region</a:t>
          </a:r>
          <a:r>
            <a:rPr lang="en-US" sz="1100" baseline="0"/>
            <a:t> did so well in New York amidst others generating the sum of $67,180.50.</a:t>
          </a:r>
        </a:p>
        <a:p>
          <a:pPr algn="l"/>
          <a:r>
            <a:rPr lang="en-US" sz="1100" b="1" baseline="0"/>
            <a:t>Top Six ship Cities by Revenue: </a:t>
          </a:r>
          <a:r>
            <a:rPr lang="en-US" sz="1100" b="0" baseline="0"/>
            <a:t>Miami peaked the top ship cities with $50,145.33 followed by Memphis with $43,713.00.</a:t>
          </a:r>
          <a:endParaRPr lang="en-US" sz="1100" baseline="0"/>
        </a:p>
        <a:p>
          <a:pPr algn="l"/>
          <a:r>
            <a:rPr lang="en-US" sz="1100" b="1" baseline="0"/>
            <a:t>Region Performers: </a:t>
          </a:r>
          <a:r>
            <a:rPr lang="en-US" sz="1100" b="0" baseline="0"/>
            <a:t>South region.</a:t>
          </a:r>
          <a:endParaRPr lang="en-US" sz="1100" baseline="0"/>
        </a:p>
        <a:p>
          <a:pPr algn="l"/>
          <a:r>
            <a:rPr lang="en-US" sz="1100" b="1" baseline="0"/>
            <a:t>Transaction by amount: </a:t>
          </a:r>
          <a:r>
            <a:rPr lang="en-US" sz="1100" baseline="0"/>
            <a:t>The Highest Transaction by amount in the south falls within the range of $10-$1010 having the count of 50 revenue transactions, followed by $4010-$5010 with the count of 1 revenue transactions.</a:t>
          </a:r>
        </a:p>
        <a:p>
          <a:pPr algn="l"/>
          <a:r>
            <a:rPr lang="en-US" sz="1100" b="1" baseline="0"/>
            <a:t>Sales by product Category: </a:t>
          </a:r>
          <a:r>
            <a:rPr lang="en-US" sz="1100" b="0" baseline="0"/>
            <a:t>South region has</a:t>
          </a:r>
          <a:r>
            <a:rPr lang="en-US" sz="1100" baseline="0"/>
            <a:t> the highest sales in beverage generating the sum of $29,278.08 and Dried fruits and nuts with $1,687.00</a:t>
          </a:r>
        </a:p>
        <a:p>
          <a:pPr algn="l"/>
          <a:r>
            <a:rPr lang="en-US" sz="1100" b="1" baseline="0"/>
            <a:t>Sales Performance Analysis: </a:t>
          </a:r>
          <a:r>
            <a:rPr lang="en-US" sz="1100" b="0" baseline="0"/>
            <a:t>Anne Larsen with the revenue $93,858.</a:t>
          </a:r>
          <a:endParaRPr lang="en-US" sz="1100" baseline="0"/>
        </a:p>
        <a:p>
          <a:pPr algn="l"/>
          <a:r>
            <a:rPr lang="en-US" sz="1100" b="1" baseline="0"/>
            <a:t>Top ten customer</a:t>
          </a:r>
          <a:r>
            <a:rPr lang="en-US" sz="1100" baseline="0"/>
            <a:t>: Company BB emerged as the top customer with $43,713 followed by company K with $21,937.</a:t>
          </a:r>
        </a:p>
        <a:p>
          <a:pPr algn="ctr"/>
          <a:endParaRPr lang="en-US" sz="1100"/>
        </a:p>
      </xdr:txBody>
    </xdr:sp>
    <xdr:clientData/>
  </xdr:twoCellAnchor>
  <xdr:twoCellAnchor>
    <xdr:from>
      <xdr:col>25</xdr:col>
      <xdr:colOff>171450</xdr:colOff>
      <xdr:row>24</xdr:row>
      <xdr:rowOff>180974</xdr:rowOff>
    </xdr:from>
    <xdr:to>
      <xdr:col>33</xdr:col>
      <xdr:colOff>295275</xdr:colOff>
      <xdr:row>48</xdr:row>
      <xdr:rowOff>38099</xdr:rowOff>
    </xdr:to>
    <xdr:sp macro="" textlink="">
      <xdr:nvSpPr>
        <xdr:cNvPr id="17" name="Rectangle: Rounded Corners 16">
          <a:extLst>
            <a:ext uri="{FF2B5EF4-FFF2-40B4-BE49-F238E27FC236}">
              <a16:creationId xmlns:a16="http://schemas.microsoft.com/office/drawing/2014/main" id="{0122504F-AA06-9E77-334B-9F97290574B8}"/>
            </a:ext>
          </a:extLst>
        </xdr:cNvPr>
        <xdr:cNvSpPr/>
      </xdr:nvSpPr>
      <xdr:spPr>
        <a:xfrm>
          <a:off x="15411450" y="4752974"/>
          <a:ext cx="5000625" cy="442912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REGION CONTEXT</a:t>
          </a:r>
        </a:p>
        <a:p>
          <a:pPr algn="ctr"/>
          <a:endParaRPr lang="en-US" sz="1100" baseline="0"/>
        </a:p>
        <a:p>
          <a:pPr algn="l"/>
          <a:r>
            <a:rPr lang="en-US" sz="1100" b="1" baseline="0"/>
            <a:t>WEST REGION</a:t>
          </a:r>
        </a:p>
        <a:p>
          <a:pPr algn="l"/>
          <a:r>
            <a:rPr lang="en-US" sz="1100" b="1" baseline="0"/>
            <a:t>Sales Trend Report</a:t>
          </a:r>
          <a:r>
            <a:rPr lang="en-US" sz="1100" baseline="0"/>
            <a:t>: There is a gradual decline in sales from june with $10,873.42 july with $4,709.60 and then to august with $2,988.60</a:t>
          </a:r>
        </a:p>
        <a:p>
          <a:pPr algn="l"/>
          <a:r>
            <a:rPr lang="en-US" sz="1100" b="1" baseline="0"/>
            <a:t>Performance by State: </a:t>
          </a:r>
          <a:r>
            <a:rPr lang="en-US" sz="1100" b="0" baseline="0"/>
            <a:t>West region</a:t>
          </a:r>
          <a:r>
            <a:rPr lang="en-US" sz="1100" baseline="0"/>
            <a:t> did so well in New York amidst others generating the sum of $67,180.50.</a:t>
          </a:r>
        </a:p>
        <a:p>
          <a:pPr algn="l"/>
          <a:r>
            <a:rPr lang="en-US" sz="1100" b="1" baseline="0"/>
            <a:t>Top Six ship Cities by Revenue: </a:t>
          </a:r>
          <a:r>
            <a:rPr lang="en-US" sz="1100" b="0" baseline="0"/>
            <a:t>Salt lake city peaked the top ship cities with $32,530.6 followed by Las vegas with $15,365.5.</a:t>
          </a:r>
          <a:endParaRPr lang="en-US" sz="1100" baseline="0"/>
        </a:p>
        <a:p>
          <a:pPr algn="l"/>
          <a:r>
            <a:rPr lang="en-US" sz="1100" b="1" baseline="0"/>
            <a:t>Region Performers: </a:t>
          </a:r>
          <a:r>
            <a:rPr lang="en-US" sz="1100" b="0" baseline="0"/>
            <a:t>West region.</a:t>
          </a:r>
          <a:endParaRPr lang="en-US" sz="1100" baseline="0"/>
        </a:p>
        <a:p>
          <a:pPr algn="l"/>
          <a:r>
            <a:rPr lang="en-US" sz="1100" b="1" baseline="0"/>
            <a:t>Transaction by amount: </a:t>
          </a:r>
          <a:r>
            <a:rPr lang="en-US" sz="1100" baseline="0"/>
            <a:t>The Highest Transaction by amount in the west falls within the range of $10-$1010 having the count of 43 revenue transactions, followed by $1010-$2010 with the count of 20 revenue transactions.</a:t>
          </a:r>
        </a:p>
        <a:p>
          <a:pPr algn="l"/>
          <a:r>
            <a:rPr lang="en-US" sz="1100" b="1" baseline="0"/>
            <a:t>Sales by product Category: </a:t>
          </a:r>
          <a:r>
            <a:rPr lang="en-US" sz="1100" b="0" baseline="0"/>
            <a:t>West region has</a:t>
          </a:r>
          <a:r>
            <a:rPr lang="en-US" sz="1100" baseline="0"/>
            <a:t> the highest sales in beverage generating the sum of $22,501.13 and soups with $6,166.35.</a:t>
          </a:r>
        </a:p>
        <a:p>
          <a:pPr algn="l"/>
          <a:r>
            <a:rPr lang="en-US" sz="1100" b="1" baseline="0"/>
            <a:t>Sales Performance Analysis: </a:t>
          </a:r>
          <a:r>
            <a:rPr lang="en-US" sz="1100" b="0" baseline="0"/>
            <a:t>Mariya Segienko with $42,371, Robert Zare with $32,531 and then Jan Kotas with $16,351 </a:t>
          </a:r>
          <a:endParaRPr lang="en-US" sz="1100" baseline="0"/>
        </a:p>
        <a:p>
          <a:pPr algn="l"/>
          <a:r>
            <a:rPr lang="en-US" sz="1100" b="1" baseline="0"/>
            <a:t>Top ten customer</a:t>
          </a:r>
          <a:r>
            <a:rPr lang="en-US" sz="1100" baseline="0"/>
            <a:t>: Company I emerged as the top customer with $32,531 followed by Company C, Company CC, Company L, Company AA.</a:t>
          </a:r>
        </a:p>
        <a:p>
          <a:pPr algn="ctr"/>
          <a:endParaRPr lang="en-US" sz="1100"/>
        </a:p>
      </xdr:txBody>
    </xdr:sp>
    <xdr:clientData/>
  </xdr:twoCellAnchor>
  <xdr:twoCellAnchor>
    <xdr:from>
      <xdr:col>0</xdr:col>
      <xdr:colOff>38100</xdr:colOff>
      <xdr:row>47</xdr:row>
      <xdr:rowOff>76200</xdr:rowOff>
    </xdr:from>
    <xdr:to>
      <xdr:col>8</xdr:col>
      <xdr:colOff>161925</xdr:colOff>
      <xdr:row>64</xdr:row>
      <xdr:rowOff>142876</xdr:rowOff>
    </xdr:to>
    <xdr:sp macro="" textlink="">
      <xdr:nvSpPr>
        <xdr:cNvPr id="18" name="Rectangle: Rounded Corners 17">
          <a:extLst>
            <a:ext uri="{FF2B5EF4-FFF2-40B4-BE49-F238E27FC236}">
              <a16:creationId xmlns:a16="http://schemas.microsoft.com/office/drawing/2014/main" id="{50E44B96-83FF-4AFF-AA61-DE50FACD7CF8}"/>
            </a:ext>
          </a:extLst>
        </xdr:cNvPr>
        <xdr:cNvSpPr/>
      </xdr:nvSpPr>
      <xdr:spPr>
        <a:xfrm>
          <a:off x="38100" y="9029700"/>
          <a:ext cx="5000625" cy="33051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ctr"/>
          <a:endParaRPr lang="en-US" sz="1100" baseline="0"/>
        </a:p>
        <a:p>
          <a:pPr algn="l"/>
          <a:r>
            <a:rPr lang="en-US" sz="1100" b="1" baseline="0"/>
            <a:t>ALMONDS</a:t>
          </a:r>
        </a:p>
        <a:p>
          <a:pPr algn="l"/>
          <a:r>
            <a:rPr lang="en-US" sz="1100" b="1" baseline="0"/>
            <a:t>Sales Trend Report</a:t>
          </a:r>
          <a:r>
            <a:rPr lang="en-US" sz="1100" baseline="0"/>
            <a:t>: Almond has the highest sales trend in the month of december generating the sum of revenue $970.00, and the least sales happens in october with $120.00, and sales actually started in february.</a:t>
          </a:r>
        </a:p>
        <a:p>
          <a:pPr algn="l"/>
          <a:r>
            <a:rPr lang="en-US" sz="1100" b="1" baseline="0"/>
            <a:t>Performance by State: </a:t>
          </a:r>
          <a:r>
            <a:rPr lang="en-US" sz="1100" b="0" baseline="0"/>
            <a:t>Almond</a:t>
          </a:r>
          <a:r>
            <a:rPr lang="en-US" sz="1100" baseline="0"/>
            <a:t> did so well in New York amidst others states.</a:t>
          </a:r>
        </a:p>
        <a:p>
          <a:pPr algn="l"/>
          <a:r>
            <a:rPr lang="en-US" sz="1100" b="1" baseline="0"/>
            <a:t>Top Six ship Cities by Revenue: </a:t>
          </a:r>
          <a:r>
            <a:rPr lang="en-US" sz="1100" b="0" baseline="0"/>
            <a:t>Chicago peaked the ship city with reenue $4,440.00</a:t>
          </a:r>
          <a:endParaRPr lang="en-US" sz="1100" baseline="0"/>
        </a:p>
        <a:p>
          <a:pPr algn="l"/>
          <a:r>
            <a:rPr lang="en-US" sz="1100" b="1" baseline="0"/>
            <a:t>Region Performers: </a:t>
          </a:r>
          <a:r>
            <a:rPr lang="en-US" sz="1100" b="0" baseline="0"/>
            <a:t>East region</a:t>
          </a:r>
          <a:endParaRPr lang="en-US" sz="1100" baseline="0"/>
        </a:p>
        <a:p>
          <a:pPr algn="l"/>
          <a:r>
            <a:rPr lang="en-US" sz="1100" b="1" baseline="0"/>
            <a:t>Transaction by amount: </a:t>
          </a:r>
          <a:r>
            <a:rPr lang="en-US" sz="1100" baseline="0"/>
            <a:t>The Highest Transaction by amount in the east falls within the range of $10-$1010 having the count of 8 revenue transactions.</a:t>
          </a:r>
        </a:p>
        <a:p>
          <a:pPr algn="l"/>
          <a:r>
            <a:rPr lang="en-US" sz="1100" b="1" baseline="0"/>
            <a:t>Sales by product Category: </a:t>
          </a:r>
          <a:r>
            <a:rPr lang="en-US" sz="1100" b="0" baseline="0"/>
            <a:t>Dried fruits and nuts with $4,440.00</a:t>
          </a:r>
          <a:r>
            <a:rPr lang="en-US" sz="1100" b="1" baseline="0"/>
            <a:t> </a:t>
          </a:r>
        </a:p>
        <a:p>
          <a:pPr algn="l"/>
          <a:r>
            <a:rPr lang="en-US" sz="1100" b="1" baseline="0"/>
            <a:t>Sales Performance Analysis: </a:t>
          </a:r>
          <a:r>
            <a:rPr lang="en-US" sz="1100" b="0" baseline="0"/>
            <a:t>Laura Giussani with $4,440.00</a:t>
          </a:r>
        </a:p>
        <a:p>
          <a:pPr algn="l"/>
          <a:r>
            <a:rPr lang="en-US" sz="1100" b="1" baseline="0"/>
            <a:t>Top ten customer</a:t>
          </a:r>
          <a:r>
            <a:rPr lang="en-US" sz="1100" baseline="0"/>
            <a:t>: Company I emerged as the top customer with $4,440.00.</a:t>
          </a:r>
        </a:p>
        <a:p>
          <a:pPr algn="ctr"/>
          <a:endParaRPr lang="en-US" sz="1100"/>
        </a:p>
      </xdr:txBody>
    </xdr:sp>
    <xdr:clientData/>
  </xdr:twoCellAnchor>
  <xdr:twoCellAnchor>
    <xdr:from>
      <xdr:col>8</xdr:col>
      <xdr:colOff>247650</xdr:colOff>
      <xdr:row>47</xdr:row>
      <xdr:rowOff>114300</xdr:rowOff>
    </xdr:from>
    <xdr:to>
      <xdr:col>16</xdr:col>
      <xdr:colOff>371475</xdr:colOff>
      <xdr:row>65</xdr:row>
      <xdr:rowOff>57150</xdr:rowOff>
    </xdr:to>
    <xdr:sp macro="" textlink="">
      <xdr:nvSpPr>
        <xdr:cNvPr id="19" name="Rectangle: Rounded Corners 18">
          <a:extLst>
            <a:ext uri="{FF2B5EF4-FFF2-40B4-BE49-F238E27FC236}">
              <a16:creationId xmlns:a16="http://schemas.microsoft.com/office/drawing/2014/main" id="{27AF2ADA-21D1-DE88-39F0-15538A7D571B}"/>
            </a:ext>
          </a:extLst>
        </xdr:cNvPr>
        <xdr:cNvSpPr/>
      </xdr:nvSpPr>
      <xdr:spPr>
        <a:xfrm>
          <a:off x="5124450" y="9067800"/>
          <a:ext cx="5000625" cy="33718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ctr"/>
          <a:endParaRPr lang="en-US" sz="1100" baseline="0"/>
        </a:p>
        <a:p>
          <a:pPr algn="l"/>
          <a:r>
            <a:rPr lang="en-US" sz="1100" b="1" baseline="0"/>
            <a:t>BEER</a:t>
          </a:r>
        </a:p>
        <a:p>
          <a:pPr algn="l"/>
          <a:r>
            <a:rPr lang="en-US" sz="1100" b="1" baseline="0"/>
            <a:t>Sales Trend Report</a:t>
          </a:r>
          <a:r>
            <a:rPr lang="en-US" sz="1100" baseline="0"/>
            <a:t>: Beer has the highest sales trend in the month of october generating the sum of revenue $2,464.00 followed by december with $2,492.00</a:t>
          </a:r>
        </a:p>
        <a:p>
          <a:pPr algn="l"/>
          <a:r>
            <a:rPr lang="en-US" sz="1100" b="1" baseline="0"/>
            <a:t>Performance by State: </a:t>
          </a:r>
          <a:r>
            <a:rPr lang="en-US" sz="1100" b="0" baseline="0"/>
            <a:t>Almond</a:t>
          </a:r>
          <a:r>
            <a:rPr lang="en-US" sz="1100" baseline="0"/>
            <a:t> did so well in New York amidst others states.</a:t>
          </a:r>
        </a:p>
        <a:p>
          <a:pPr algn="l"/>
          <a:r>
            <a:rPr lang="en-US" sz="1100" b="1" baseline="0"/>
            <a:t>Top Six ship Cities by Revenue: </a:t>
          </a:r>
          <a:r>
            <a:rPr lang="en-US" sz="1100" b="0" baseline="0"/>
            <a:t>Milwaukee peaked the ship city with $10,178</a:t>
          </a:r>
          <a:endParaRPr lang="en-US" sz="1100" baseline="0"/>
        </a:p>
        <a:p>
          <a:pPr algn="l"/>
          <a:r>
            <a:rPr lang="en-US" sz="1100" b="1" baseline="0"/>
            <a:t>Region Performers: </a:t>
          </a:r>
          <a:r>
            <a:rPr lang="en-US" sz="1100" b="0" baseline="0"/>
            <a:t>North region with $10,178 and west region with $7,868.</a:t>
          </a:r>
          <a:endParaRPr lang="en-US" sz="1100" baseline="0"/>
        </a:p>
        <a:p>
          <a:pPr algn="l"/>
          <a:r>
            <a:rPr lang="en-US" sz="1100" b="1" baseline="0"/>
            <a:t>Transaction by amount: </a:t>
          </a:r>
          <a:r>
            <a:rPr lang="en-US" sz="1100" baseline="0"/>
            <a:t>The Highest Transaction by amount of the beer product falls within the range of $10-$1010 having the count of 14 revenue transactions and within the range of $1010-$2010 with the count of 7 revenue transactions.</a:t>
          </a:r>
        </a:p>
        <a:p>
          <a:pPr algn="l"/>
          <a:r>
            <a:rPr lang="en-US" sz="1100" b="1" baseline="0"/>
            <a:t>Sales by product Category: </a:t>
          </a:r>
          <a:r>
            <a:rPr lang="en-US" sz="1100" b="0" baseline="0"/>
            <a:t>beverage with $18,046.00</a:t>
          </a:r>
          <a:endParaRPr lang="en-US" sz="1100" b="1" baseline="0"/>
        </a:p>
        <a:p>
          <a:pPr algn="l"/>
          <a:r>
            <a:rPr lang="en-US" sz="1100" b="1" baseline="0"/>
            <a:t>Sales Performance Analysis: </a:t>
          </a:r>
          <a:r>
            <a:rPr lang="en-US" sz="1100" b="0" baseline="0"/>
            <a:t>Michael Neipper with $10,178, Jan Kotas with $6,986, and Mariya Sergienko with $882</a:t>
          </a:r>
        </a:p>
        <a:p>
          <a:pPr algn="l"/>
          <a:r>
            <a:rPr lang="en-US" sz="1100" b="1" baseline="0"/>
            <a:t>Top ten customer</a:t>
          </a:r>
          <a:r>
            <a:rPr lang="en-US" sz="1100" baseline="0"/>
            <a:t>: Company F with $10,178 followed by company C and company AA.</a:t>
          </a:r>
        </a:p>
        <a:p>
          <a:pPr algn="ctr"/>
          <a:endParaRPr lang="en-US" sz="1100"/>
        </a:p>
      </xdr:txBody>
    </xdr:sp>
    <xdr:clientData/>
  </xdr:twoCellAnchor>
  <xdr:twoCellAnchor>
    <xdr:from>
      <xdr:col>16</xdr:col>
      <xdr:colOff>438150</xdr:colOff>
      <xdr:row>48</xdr:row>
      <xdr:rowOff>57149</xdr:rowOff>
    </xdr:from>
    <xdr:to>
      <xdr:col>24</xdr:col>
      <xdr:colOff>561975</xdr:colOff>
      <xdr:row>68</xdr:row>
      <xdr:rowOff>133350</xdr:rowOff>
    </xdr:to>
    <xdr:sp macro="" textlink="">
      <xdr:nvSpPr>
        <xdr:cNvPr id="20" name="Rectangle: Rounded Corners 19">
          <a:extLst>
            <a:ext uri="{FF2B5EF4-FFF2-40B4-BE49-F238E27FC236}">
              <a16:creationId xmlns:a16="http://schemas.microsoft.com/office/drawing/2014/main" id="{D502C37B-6A6F-1C20-05B0-257AA245E195}"/>
            </a:ext>
          </a:extLst>
        </xdr:cNvPr>
        <xdr:cNvSpPr/>
      </xdr:nvSpPr>
      <xdr:spPr>
        <a:xfrm>
          <a:off x="10191750" y="9201149"/>
          <a:ext cx="5000625" cy="38862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l"/>
          <a:endParaRPr lang="en-US" sz="1100" b="0" baseline="0"/>
        </a:p>
        <a:p>
          <a:pPr algn="l"/>
          <a:r>
            <a:rPr lang="en-US" sz="1100" b="0" baseline="0"/>
            <a:t>BOYSENBERRY SPREAD</a:t>
          </a:r>
          <a:endParaRPr lang="en-US" sz="1100" b="1" baseline="0"/>
        </a:p>
        <a:p>
          <a:pPr algn="l"/>
          <a:r>
            <a:rPr lang="en-US" sz="1100" b="1" baseline="0"/>
            <a:t>Sales Trend Report</a:t>
          </a:r>
          <a:r>
            <a:rPr lang="en-US" sz="1100" baseline="0"/>
            <a:t>: It has the highest sales trend in the month of december generating the sum of revenue $2,675.00 and lowest sales in febrauary $525.00</a:t>
          </a:r>
        </a:p>
        <a:p>
          <a:pPr algn="l"/>
          <a:r>
            <a:rPr lang="en-US" sz="1100" b="1" baseline="0"/>
            <a:t>Performance by State: </a:t>
          </a:r>
          <a:r>
            <a:rPr lang="en-US" sz="1100" b="0" baseline="0"/>
            <a:t>It</a:t>
          </a:r>
          <a:r>
            <a:rPr lang="en-US" sz="1100" baseline="0"/>
            <a:t> did so well in New York amidst others generating the sum of $67,180.50.</a:t>
          </a:r>
        </a:p>
        <a:p>
          <a:pPr algn="l"/>
          <a:r>
            <a:rPr lang="en-US" sz="1100" b="1" baseline="0"/>
            <a:t>Top Six ship Cities by Revenue: </a:t>
          </a:r>
          <a:r>
            <a:rPr lang="en-US" sz="1100" b="0" baseline="0"/>
            <a:t>Chicago peaked the top ship cities with $8,850.00 and Miami with $1,300.00</a:t>
          </a:r>
          <a:endParaRPr lang="en-US" sz="1100" baseline="0"/>
        </a:p>
        <a:p>
          <a:pPr algn="l"/>
          <a:r>
            <a:rPr lang="en-US" sz="1100" b="1" baseline="0"/>
            <a:t>Region Performers: </a:t>
          </a:r>
          <a:r>
            <a:rPr lang="en-US" sz="1100" b="0" baseline="0"/>
            <a:t>East region with $8.850 and South region with $1,300.</a:t>
          </a:r>
          <a:endParaRPr lang="en-US" sz="1100" baseline="0"/>
        </a:p>
        <a:p>
          <a:pPr algn="l"/>
          <a:r>
            <a:rPr lang="en-US" sz="1100" b="1" baseline="0"/>
            <a:t>Transaction by amount: </a:t>
          </a:r>
          <a:r>
            <a:rPr lang="en-US" sz="1100" baseline="0"/>
            <a:t>The Highest Transaction by amount falls within the range of $10-$1010 having the count of 6 revenue transactions and $2010-$3010 with the count of 1 revenue transactions.</a:t>
          </a:r>
        </a:p>
        <a:p>
          <a:pPr algn="l"/>
          <a:r>
            <a:rPr lang="en-US" sz="1100" b="1" baseline="0"/>
            <a:t>Sales by product Category: </a:t>
          </a:r>
          <a:r>
            <a:rPr lang="en-US" sz="1100" b="0" baseline="0"/>
            <a:t>Boysenberry spread has</a:t>
          </a:r>
          <a:r>
            <a:rPr lang="en-US" sz="1100" baseline="0"/>
            <a:t> the highest sales in jams preserves generating the sum of $10,150.00 </a:t>
          </a:r>
        </a:p>
        <a:p>
          <a:pPr algn="l"/>
          <a:r>
            <a:rPr lang="en-US" sz="1100" b="1" baseline="0"/>
            <a:t>Sales Performance Analysis: </a:t>
          </a:r>
          <a:r>
            <a:rPr lang="en-US" sz="1100" b="0" baseline="0"/>
            <a:t>Laura Giussani with $8,850 and Anne Larsen with $1,300.</a:t>
          </a:r>
          <a:endParaRPr lang="en-US" sz="1100" baseline="0"/>
        </a:p>
        <a:p>
          <a:pPr algn="l"/>
          <a:r>
            <a:rPr lang="en-US" sz="1100" b="1" baseline="0"/>
            <a:t>Top ten customer</a:t>
          </a:r>
          <a:r>
            <a:rPr lang="en-US" sz="1100" baseline="0"/>
            <a:t>: Company J emerged as the top customer with $8,850  and company Z with $1,300.</a:t>
          </a:r>
        </a:p>
        <a:p>
          <a:pPr algn="ctr"/>
          <a:endParaRPr lang="en-US" sz="1100"/>
        </a:p>
      </xdr:txBody>
    </xdr:sp>
    <xdr:clientData/>
  </xdr:twoCellAnchor>
  <xdr:twoCellAnchor>
    <xdr:from>
      <xdr:col>25</xdr:col>
      <xdr:colOff>180975</xdr:colOff>
      <xdr:row>48</xdr:row>
      <xdr:rowOff>85724</xdr:rowOff>
    </xdr:from>
    <xdr:to>
      <xdr:col>33</xdr:col>
      <xdr:colOff>304800</xdr:colOff>
      <xdr:row>68</xdr:row>
      <xdr:rowOff>161925</xdr:rowOff>
    </xdr:to>
    <xdr:sp macro="" textlink="">
      <xdr:nvSpPr>
        <xdr:cNvPr id="21" name="Rectangle: Rounded Corners 20">
          <a:extLst>
            <a:ext uri="{FF2B5EF4-FFF2-40B4-BE49-F238E27FC236}">
              <a16:creationId xmlns:a16="http://schemas.microsoft.com/office/drawing/2014/main" id="{CB9C7139-B67D-8FAD-2731-78975D84CFAE}"/>
            </a:ext>
          </a:extLst>
        </xdr:cNvPr>
        <xdr:cNvSpPr/>
      </xdr:nvSpPr>
      <xdr:spPr>
        <a:xfrm>
          <a:off x="15420975" y="9229724"/>
          <a:ext cx="5000625" cy="38862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l"/>
          <a:endParaRPr lang="en-US" sz="1100" b="0" baseline="0"/>
        </a:p>
        <a:p>
          <a:pPr algn="l"/>
          <a:r>
            <a:rPr lang="en-US" sz="1100" b="0" baseline="0"/>
            <a:t>CAJUN SEASONING</a:t>
          </a:r>
          <a:endParaRPr lang="en-US" sz="1100" b="1" baseline="0"/>
        </a:p>
        <a:p>
          <a:pPr algn="l"/>
          <a:r>
            <a:rPr lang="en-US" sz="1100" b="1" baseline="0"/>
            <a:t>Sales Trend Report</a:t>
          </a:r>
          <a:r>
            <a:rPr lang="en-US" sz="1100" baseline="0"/>
            <a:t>: It has the highest sales trend in the month of june, there is a high increase in sales from may-june and a gradual decline from jun-oct. </a:t>
          </a:r>
        </a:p>
        <a:p>
          <a:pPr algn="l"/>
          <a:r>
            <a:rPr lang="en-US" sz="1100" baseline="0"/>
            <a:t> </a:t>
          </a:r>
          <a:r>
            <a:rPr lang="en-US" sz="1100" b="1" baseline="0"/>
            <a:t>Performance by State: </a:t>
          </a:r>
          <a:r>
            <a:rPr lang="en-US" sz="1100" b="0" baseline="0"/>
            <a:t>It</a:t>
          </a:r>
          <a:r>
            <a:rPr lang="en-US" sz="1100" baseline="0"/>
            <a:t> did so well in New York amidst others generating the sum of $67,180.50.</a:t>
          </a:r>
        </a:p>
        <a:p>
          <a:pPr algn="l"/>
          <a:r>
            <a:rPr lang="en-US" sz="1100" b="1" baseline="0"/>
            <a:t>Top Six ship Cities by Revenue: </a:t>
          </a:r>
          <a:r>
            <a:rPr lang="en-US" sz="1100" b="0" baseline="0"/>
            <a:t>Chicago peaked the top ship cities with $15,048.</a:t>
          </a:r>
        </a:p>
        <a:p>
          <a:pPr algn="l"/>
          <a:r>
            <a:rPr lang="en-US" sz="1100" b="1" baseline="0"/>
            <a:t>Region Performers: </a:t>
          </a:r>
          <a:r>
            <a:rPr lang="en-US" sz="1100" b="0" baseline="0"/>
            <a:t>East region with $15,048.</a:t>
          </a:r>
          <a:endParaRPr lang="en-US" sz="1100" baseline="0"/>
        </a:p>
        <a:p>
          <a:pPr algn="l"/>
          <a:r>
            <a:rPr lang="en-US" sz="1100" b="1" baseline="0"/>
            <a:t>Transaction by amount: </a:t>
          </a:r>
          <a:r>
            <a:rPr lang="en-US" sz="1100" baseline="0"/>
            <a:t>The Highest Transaction by amount falls within the range of $10-$1010 having the count of 14 revenue transactions and $2010-$3010 with the count of 3 revenue transactions.</a:t>
          </a:r>
        </a:p>
        <a:p>
          <a:pPr algn="l"/>
          <a:r>
            <a:rPr lang="en-US" sz="1100" b="1" baseline="0"/>
            <a:t>Sales by product Category: </a:t>
          </a:r>
          <a:r>
            <a:rPr lang="en-US" sz="1100" b="0" baseline="0"/>
            <a:t>Condiments with $15,048.00</a:t>
          </a:r>
        </a:p>
        <a:p>
          <a:pPr algn="l"/>
          <a:r>
            <a:rPr lang="en-US" sz="1100" b="1" baseline="0"/>
            <a:t>Sales Performance Analysis: </a:t>
          </a:r>
          <a:r>
            <a:rPr lang="en-US" sz="1100" b="0" baseline="0"/>
            <a:t>Laura Giussani .</a:t>
          </a:r>
          <a:endParaRPr lang="en-US" sz="1100" baseline="0"/>
        </a:p>
        <a:p>
          <a:pPr algn="l"/>
          <a:r>
            <a:rPr lang="en-US" sz="1100" b="1" baseline="0"/>
            <a:t>Top ten customer</a:t>
          </a:r>
          <a:r>
            <a:rPr lang="en-US" sz="1100" baseline="0"/>
            <a:t>: Company J emerged as the top customer with $9,416  and company Y with $5,632.</a:t>
          </a:r>
        </a:p>
        <a:p>
          <a:pPr algn="ctr"/>
          <a:endParaRPr lang="en-US" sz="1100"/>
        </a:p>
      </xdr:txBody>
    </xdr:sp>
    <xdr:clientData/>
  </xdr:twoCellAnchor>
  <xdr:twoCellAnchor>
    <xdr:from>
      <xdr:col>33</xdr:col>
      <xdr:colOff>533400</xdr:colOff>
      <xdr:row>48</xdr:row>
      <xdr:rowOff>114299</xdr:rowOff>
    </xdr:from>
    <xdr:to>
      <xdr:col>42</xdr:col>
      <xdr:colOff>47625</xdr:colOff>
      <xdr:row>69</xdr:row>
      <xdr:rowOff>0</xdr:rowOff>
    </xdr:to>
    <xdr:sp macro="" textlink="">
      <xdr:nvSpPr>
        <xdr:cNvPr id="22" name="Rectangle: Rounded Corners 21">
          <a:extLst>
            <a:ext uri="{FF2B5EF4-FFF2-40B4-BE49-F238E27FC236}">
              <a16:creationId xmlns:a16="http://schemas.microsoft.com/office/drawing/2014/main" id="{1719576B-A4FF-13DE-90BA-B04726721E29}"/>
            </a:ext>
          </a:extLst>
        </xdr:cNvPr>
        <xdr:cNvSpPr/>
      </xdr:nvSpPr>
      <xdr:spPr>
        <a:xfrm>
          <a:off x="20650200" y="9258299"/>
          <a:ext cx="5000625" cy="38862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l"/>
          <a:endParaRPr lang="en-US" sz="1100" b="0" baseline="0"/>
        </a:p>
        <a:p>
          <a:pPr algn="l"/>
          <a:r>
            <a:rPr lang="en-US" sz="1100" b="0" baseline="0"/>
            <a:t>CHAI</a:t>
          </a:r>
          <a:endParaRPr lang="en-US" sz="1100" b="1" baseline="0"/>
        </a:p>
        <a:p>
          <a:pPr algn="l"/>
          <a:r>
            <a:rPr lang="en-US" sz="1100" b="1" baseline="0"/>
            <a:t>Sales Trend Report</a:t>
          </a:r>
          <a:r>
            <a:rPr lang="en-US" sz="1100" baseline="0"/>
            <a:t>: Started out quite high in june with $2,214.00, drop down in sales $522.00. Highest sales in december with $2,808.00 </a:t>
          </a:r>
        </a:p>
        <a:p>
          <a:pPr algn="l"/>
          <a:r>
            <a:rPr lang="en-US" sz="1100" baseline="0"/>
            <a:t> </a:t>
          </a:r>
          <a:r>
            <a:rPr lang="en-US" sz="1100" b="1" baseline="0"/>
            <a:t>Performance by State: </a:t>
          </a:r>
          <a:r>
            <a:rPr lang="en-US" sz="1100" b="0" baseline="0"/>
            <a:t>It</a:t>
          </a:r>
          <a:r>
            <a:rPr lang="en-US" sz="1100" baseline="0"/>
            <a:t> did so well in New York amidst others generating the sum of $67,180.50.</a:t>
          </a:r>
        </a:p>
        <a:p>
          <a:pPr algn="l"/>
          <a:r>
            <a:rPr lang="en-US" sz="1100" b="1" baseline="0"/>
            <a:t>Top Six ship Cities by Revenue: </a:t>
          </a:r>
          <a:r>
            <a:rPr lang="en-US" sz="1100" b="0" baseline="0"/>
            <a:t>Seattle peaked the top ship cities with $8,478</a:t>
          </a:r>
        </a:p>
        <a:p>
          <a:pPr algn="l"/>
          <a:r>
            <a:rPr lang="en-US" sz="1100" b="0" baseline="0"/>
            <a:t>and Las vegas with $3,816</a:t>
          </a:r>
        </a:p>
        <a:p>
          <a:pPr algn="l"/>
          <a:r>
            <a:rPr lang="en-US" sz="1100" b="1" baseline="0"/>
            <a:t>Region Performers: </a:t>
          </a:r>
          <a:r>
            <a:rPr lang="en-US" sz="1100" b="0" baseline="0"/>
            <a:t>North region with $8,478 and west region with $3,816</a:t>
          </a:r>
          <a:endParaRPr lang="en-US" sz="1100" baseline="0"/>
        </a:p>
        <a:p>
          <a:pPr algn="l"/>
          <a:r>
            <a:rPr lang="en-US" sz="1100" b="1" baseline="0"/>
            <a:t>Transaction by amount: </a:t>
          </a:r>
          <a:r>
            <a:rPr lang="en-US" sz="1100" baseline="0"/>
            <a:t>The Highest Transaction by amount falls within the range of $10-$1010 having the count of 6 revenue transactions and $2010-$3010 with the count of 6 revenue transactions.</a:t>
          </a:r>
        </a:p>
        <a:p>
          <a:pPr algn="l"/>
          <a:r>
            <a:rPr lang="en-US" sz="1100" b="1" baseline="0"/>
            <a:t>Sales by product Category: </a:t>
          </a:r>
          <a:r>
            <a:rPr lang="en-US" sz="1100" b="0" baseline="0"/>
            <a:t>Beverage with $12,294.00</a:t>
          </a:r>
        </a:p>
        <a:p>
          <a:pPr algn="l"/>
          <a:r>
            <a:rPr lang="en-US" sz="1100" b="1" baseline="0"/>
            <a:t>Sales Performance Analysis: </a:t>
          </a:r>
          <a:r>
            <a:rPr lang="en-US" sz="1100" b="0" baseline="0"/>
            <a:t>Nancy Freehafer with $8,478 and Mariya Sergienko with $3,816</a:t>
          </a:r>
          <a:endParaRPr lang="en-US" sz="1100" baseline="0"/>
        </a:p>
        <a:p>
          <a:pPr algn="l"/>
          <a:r>
            <a:rPr lang="en-US" sz="1100" b="1" baseline="0"/>
            <a:t>Top ten customer</a:t>
          </a:r>
          <a:r>
            <a:rPr lang="en-US" sz="1100" baseline="0"/>
            <a:t>: Company A emerged as the top customer with $8,478  and company L with $3,816.</a:t>
          </a:r>
        </a:p>
        <a:p>
          <a:pPr algn="ctr"/>
          <a:endParaRPr lang="en-US" sz="1100"/>
        </a:p>
      </xdr:txBody>
    </xdr:sp>
    <xdr:clientData/>
  </xdr:twoCellAnchor>
  <xdr:twoCellAnchor>
    <xdr:from>
      <xdr:col>42</xdr:col>
      <xdr:colOff>142875</xdr:colOff>
      <xdr:row>48</xdr:row>
      <xdr:rowOff>57149</xdr:rowOff>
    </xdr:from>
    <xdr:to>
      <xdr:col>50</xdr:col>
      <xdr:colOff>266700</xdr:colOff>
      <xdr:row>68</xdr:row>
      <xdr:rowOff>133350</xdr:rowOff>
    </xdr:to>
    <xdr:sp macro="" textlink="">
      <xdr:nvSpPr>
        <xdr:cNvPr id="24" name="Rectangle: Rounded Corners 23">
          <a:extLst>
            <a:ext uri="{FF2B5EF4-FFF2-40B4-BE49-F238E27FC236}">
              <a16:creationId xmlns:a16="http://schemas.microsoft.com/office/drawing/2014/main" id="{6DDEA16B-52DB-CB63-CF4D-11DC52743803}"/>
            </a:ext>
          </a:extLst>
        </xdr:cNvPr>
        <xdr:cNvSpPr/>
      </xdr:nvSpPr>
      <xdr:spPr>
        <a:xfrm>
          <a:off x="25746075" y="9201149"/>
          <a:ext cx="5000625" cy="38862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l"/>
          <a:endParaRPr lang="en-US" sz="1100" b="0" baseline="0"/>
        </a:p>
        <a:p>
          <a:pPr algn="l"/>
          <a:r>
            <a:rPr lang="en-US" sz="1100" b="0" baseline="0"/>
            <a:t>CHOCOLATE</a:t>
          </a:r>
          <a:endParaRPr lang="en-US" sz="1100" b="1" baseline="0"/>
        </a:p>
        <a:p>
          <a:pPr algn="l"/>
          <a:r>
            <a:rPr lang="en-US" sz="1100" b="1" baseline="0"/>
            <a:t>Sales Trend Report</a:t>
          </a:r>
          <a:r>
            <a:rPr lang="en-US" sz="1100" baseline="0"/>
            <a:t>: There is consistent fluctaution in the sales of chocolate, highest sales in june with $2,958.00 and october with $2,932.50, low sales in november with $191.25</a:t>
          </a:r>
        </a:p>
        <a:p>
          <a:pPr algn="l"/>
          <a:r>
            <a:rPr lang="en-US" sz="1100" baseline="0"/>
            <a:t> </a:t>
          </a:r>
          <a:r>
            <a:rPr lang="en-US" sz="1100" b="1" baseline="0"/>
            <a:t>Performance by State: </a:t>
          </a:r>
          <a:r>
            <a:rPr lang="en-US" sz="1100" b="0" baseline="0"/>
            <a:t>It</a:t>
          </a:r>
          <a:r>
            <a:rPr lang="en-US" sz="1100" baseline="0"/>
            <a:t> did so well in New York amidst others generating the sum of $67,180.50.</a:t>
          </a:r>
        </a:p>
        <a:p>
          <a:pPr algn="l"/>
          <a:r>
            <a:rPr lang="en-US" sz="1100" b="1" baseline="0"/>
            <a:t>Top Six ship Cities by Revenue: </a:t>
          </a:r>
          <a:r>
            <a:rPr lang="en-US" sz="1100" b="0" baseline="0"/>
            <a:t>Milwaukee peaked the top ship cities with $9,078 and Denver with $2,422.5</a:t>
          </a:r>
        </a:p>
        <a:p>
          <a:pPr algn="l"/>
          <a:r>
            <a:rPr lang="en-US" sz="1100" b="1" baseline="0"/>
            <a:t>Region Performers: </a:t>
          </a:r>
          <a:r>
            <a:rPr lang="en-US" sz="1100" b="0" baseline="0"/>
            <a:t>North region with $15,415 and west region with $2,423</a:t>
          </a:r>
          <a:endParaRPr lang="en-US" sz="1100" baseline="0"/>
        </a:p>
        <a:p>
          <a:pPr algn="l"/>
          <a:r>
            <a:rPr lang="en-US" sz="1100" b="1" baseline="0"/>
            <a:t>Transaction by amount: </a:t>
          </a:r>
          <a:r>
            <a:rPr lang="en-US" sz="1100" baseline="0"/>
            <a:t>The Highest Transaction by amount falls within the range of $10-$1010 having the count of 22 revenue transactions and $2010-$2010 with the count of 6 revenue transactions.</a:t>
          </a:r>
        </a:p>
        <a:p>
          <a:pPr algn="l"/>
          <a:r>
            <a:rPr lang="en-US" sz="1100" b="1" baseline="0"/>
            <a:t>Sales by product Category: </a:t>
          </a:r>
          <a:r>
            <a:rPr lang="en-US" sz="1100" b="0" baseline="0"/>
            <a:t>Candy</a:t>
          </a:r>
        </a:p>
        <a:p>
          <a:pPr algn="l"/>
          <a:r>
            <a:rPr lang="en-US" sz="1100" b="1" baseline="0"/>
            <a:t>Sales Performance Analysis: </a:t>
          </a:r>
          <a:r>
            <a:rPr lang="en-US" sz="1100" b="0" baseline="0"/>
            <a:t>Michael Neipper with $9,078, Nancy Freehafer with $6,337, and Jan Kotas with $2,423</a:t>
          </a:r>
          <a:endParaRPr lang="en-US" sz="1100" baseline="0"/>
        </a:p>
        <a:p>
          <a:pPr algn="l"/>
          <a:r>
            <a:rPr lang="en-US" sz="1100" b="1" baseline="0"/>
            <a:t>Top ten customer</a:t>
          </a:r>
          <a:r>
            <a:rPr lang="en-US" sz="1100" baseline="0"/>
            <a:t>: Company F emerged as the top customer with $9,078 followed by customer H and customer CC.</a:t>
          </a:r>
        </a:p>
        <a:p>
          <a:pPr algn="ctr"/>
          <a:endParaRPr lang="en-US" sz="1100"/>
        </a:p>
      </xdr:txBody>
    </xdr:sp>
    <xdr:clientData/>
  </xdr:twoCellAnchor>
  <xdr:twoCellAnchor>
    <xdr:from>
      <xdr:col>50</xdr:col>
      <xdr:colOff>361950</xdr:colOff>
      <xdr:row>47</xdr:row>
      <xdr:rowOff>190499</xdr:rowOff>
    </xdr:from>
    <xdr:to>
      <xdr:col>58</xdr:col>
      <xdr:colOff>485775</xdr:colOff>
      <xdr:row>68</xdr:row>
      <xdr:rowOff>76200</xdr:rowOff>
    </xdr:to>
    <xdr:sp macro="" textlink="">
      <xdr:nvSpPr>
        <xdr:cNvPr id="25" name="Rectangle: Rounded Corners 24">
          <a:extLst>
            <a:ext uri="{FF2B5EF4-FFF2-40B4-BE49-F238E27FC236}">
              <a16:creationId xmlns:a16="http://schemas.microsoft.com/office/drawing/2014/main" id="{D2939972-28F4-FDC2-B18A-8C7F0F5C7925}"/>
            </a:ext>
          </a:extLst>
        </xdr:cNvPr>
        <xdr:cNvSpPr/>
      </xdr:nvSpPr>
      <xdr:spPr>
        <a:xfrm>
          <a:off x="30841950" y="9143999"/>
          <a:ext cx="5000625" cy="38862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l"/>
          <a:endParaRPr lang="en-US" sz="1100" b="0" baseline="0"/>
        </a:p>
        <a:p>
          <a:pPr algn="l"/>
          <a:r>
            <a:rPr lang="en-US" sz="1100" b="0" baseline="0"/>
            <a:t>CHOCOLATE BISCUIT BOX</a:t>
          </a:r>
          <a:endParaRPr lang="en-US" sz="1100" b="1" baseline="0"/>
        </a:p>
        <a:p>
          <a:pPr algn="l"/>
          <a:r>
            <a:rPr lang="en-US" sz="1100" b="1" baseline="0"/>
            <a:t>Sales Trend Report</a:t>
          </a:r>
          <a:r>
            <a:rPr lang="en-US" sz="1100" baseline="0"/>
            <a:t>: There is a little difference in sales between august, september and october, highest sales in december with $1,922.80, has adrop down in sales in july.</a:t>
          </a:r>
        </a:p>
        <a:p>
          <a:pPr algn="l"/>
          <a:r>
            <a:rPr lang="en-US" sz="1100" baseline="0"/>
            <a:t> </a:t>
          </a:r>
          <a:r>
            <a:rPr lang="en-US" sz="1100" b="1" baseline="0"/>
            <a:t>Performance by State: </a:t>
          </a:r>
          <a:r>
            <a:rPr lang="en-US" sz="1100" b="0" baseline="0"/>
            <a:t>It</a:t>
          </a:r>
          <a:r>
            <a:rPr lang="en-US" sz="1100" baseline="0"/>
            <a:t> did so well in New York amidst others generating the sum of $67,180.50.</a:t>
          </a:r>
        </a:p>
        <a:p>
          <a:pPr algn="l"/>
          <a:r>
            <a:rPr lang="en-US" sz="1100" b="1" baseline="0"/>
            <a:t>Top Six ship Cities by Revenue: </a:t>
          </a:r>
          <a:r>
            <a:rPr lang="en-US" sz="1100" b="0" baseline="0"/>
            <a:t>Portland peaked the top ship cities with $6,256.00 and NewYork with $2,116.00</a:t>
          </a:r>
        </a:p>
        <a:p>
          <a:pPr algn="l"/>
          <a:r>
            <a:rPr lang="en-US" sz="1100" b="1" baseline="0"/>
            <a:t>Region Performers: </a:t>
          </a:r>
          <a:r>
            <a:rPr lang="en-US" sz="1100" b="0" baseline="0"/>
            <a:t>North region with $6,256 and East region with $6,468.</a:t>
          </a:r>
          <a:endParaRPr lang="en-US" sz="1100" baseline="0"/>
        </a:p>
        <a:p>
          <a:pPr algn="l"/>
          <a:r>
            <a:rPr lang="en-US" sz="1100" b="1" baseline="0"/>
            <a:t>Transaction by amount: </a:t>
          </a:r>
          <a:r>
            <a:rPr lang="en-US" sz="1100" baseline="0"/>
            <a:t>The Highest Transaction by amount falls within the range of $10-$1010 having the count of 24 revenue transactions </a:t>
          </a:r>
        </a:p>
        <a:p>
          <a:pPr algn="l"/>
          <a:r>
            <a:rPr lang="en-US" sz="1100" b="1" baseline="0"/>
            <a:t>Sales by product Category: </a:t>
          </a:r>
          <a:r>
            <a:rPr lang="en-US" sz="1100" b="0" baseline="0"/>
            <a:t>Baked goods and mixes</a:t>
          </a:r>
        </a:p>
        <a:p>
          <a:pPr algn="l"/>
          <a:r>
            <a:rPr lang="en-US" sz="1100" b="1" baseline="0"/>
            <a:t>Sales Performance Analysis: </a:t>
          </a:r>
          <a:r>
            <a:rPr lang="en-US" sz="1100" b="0" baseline="0"/>
            <a:t>Nancy Freehafer with $6,256, Laura Giussani with $4,352 and Andrew cencini with $2,116</a:t>
          </a:r>
          <a:endParaRPr lang="en-US" sz="1100" baseline="0"/>
        </a:p>
        <a:p>
          <a:pPr algn="l"/>
          <a:r>
            <a:rPr lang="en-US" sz="1100" b="1" baseline="0"/>
            <a:t>Top ten customer</a:t>
          </a:r>
          <a:r>
            <a:rPr lang="en-US" sz="1100" baseline="0"/>
            <a:t>: Company H emerged as the top customer with $6,256 followed by customer J and customer D.</a:t>
          </a:r>
        </a:p>
        <a:p>
          <a:pPr algn="ctr"/>
          <a:endParaRPr lang="en-US" sz="1100"/>
        </a:p>
      </xdr:txBody>
    </xdr:sp>
    <xdr:clientData/>
  </xdr:twoCellAnchor>
  <xdr:twoCellAnchor>
    <xdr:from>
      <xdr:col>58</xdr:col>
      <xdr:colOff>581025</xdr:colOff>
      <xdr:row>47</xdr:row>
      <xdr:rowOff>190499</xdr:rowOff>
    </xdr:from>
    <xdr:to>
      <xdr:col>67</xdr:col>
      <xdr:colOff>95250</xdr:colOff>
      <xdr:row>68</xdr:row>
      <xdr:rowOff>76200</xdr:rowOff>
    </xdr:to>
    <xdr:sp macro="" textlink="">
      <xdr:nvSpPr>
        <xdr:cNvPr id="26" name="Rectangle: Rounded Corners 25">
          <a:extLst>
            <a:ext uri="{FF2B5EF4-FFF2-40B4-BE49-F238E27FC236}">
              <a16:creationId xmlns:a16="http://schemas.microsoft.com/office/drawing/2014/main" id="{A2DD5B41-CD7F-4776-44F2-45E8E62D62D5}"/>
            </a:ext>
          </a:extLst>
        </xdr:cNvPr>
        <xdr:cNvSpPr/>
      </xdr:nvSpPr>
      <xdr:spPr>
        <a:xfrm>
          <a:off x="35937825" y="9143999"/>
          <a:ext cx="5000625" cy="3886201"/>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PRODUCT TYPE CONTEXT</a:t>
          </a:r>
        </a:p>
        <a:p>
          <a:pPr algn="l"/>
          <a:endParaRPr lang="en-US" sz="1100" b="0" baseline="0"/>
        </a:p>
        <a:p>
          <a:pPr algn="l"/>
          <a:r>
            <a:rPr lang="en-US" sz="1100" b="0" baseline="0"/>
            <a:t>CLAM CHOWDER</a:t>
          </a:r>
          <a:endParaRPr lang="en-US" sz="1100" b="1" baseline="0"/>
        </a:p>
        <a:p>
          <a:pPr algn="l"/>
          <a:r>
            <a:rPr lang="en-US" sz="1100" b="1" baseline="0"/>
            <a:t>Sales Trend Report</a:t>
          </a:r>
          <a:r>
            <a:rPr lang="en-US" sz="1100" baseline="0"/>
            <a:t>: Started well in January with $1,843.15 but there is huge drop down in february  with $260.55, there is highest sales in december with $2,589.70</a:t>
          </a:r>
        </a:p>
        <a:p>
          <a:pPr algn="l"/>
          <a:r>
            <a:rPr lang="en-US" sz="1100" baseline="0"/>
            <a:t> </a:t>
          </a:r>
          <a:r>
            <a:rPr lang="en-US" sz="1100" b="1" baseline="0"/>
            <a:t>Performance by State: </a:t>
          </a:r>
          <a:r>
            <a:rPr lang="en-US" sz="1100" b="0" baseline="0"/>
            <a:t>It</a:t>
          </a:r>
          <a:r>
            <a:rPr lang="en-US" sz="1100" baseline="0"/>
            <a:t> did so well in New York amidst others generating the sum of $67,180.50.</a:t>
          </a:r>
        </a:p>
        <a:p>
          <a:pPr algn="l"/>
          <a:r>
            <a:rPr lang="en-US" sz="1100" b="1" baseline="0"/>
            <a:t>Top Six ship Cities by Revenue: </a:t>
          </a:r>
          <a:r>
            <a:rPr lang="en-US" sz="1100" b="0" baseline="0"/>
            <a:t>Memphis peaked the top ship cities with $5,983 and Salt lake city with $3,030.1</a:t>
          </a:r>
        </a:p>
        <a:p>
          <a:pPr algn="l"/>
          <a:r>
            <a:rPr lang="en-US" sz="1100" b="1" baseline="0"/>
            <a:t>Region Performers: </a:t>
          </a:r>
          <a:r>
            <a:rPr lang="en-US" sz="1100" b="0" baseline="0"/>
            <a:t>South region with $10,668 and West region with $6,166.</a:t>
          </a:r>
          <a:endParaRPr lang="en-US" sz="1100" baseline="0"/>
        </a:p>
        <a:p>
          <a:pPr algn="l"/>
          <a:r>
            <a:rPr lang="en-US" sz="1100" b="1" baseline="0"/>
            <a:t>Transaction by amount: </a:t>
          </a:r>
          <a:r>
            <a:rPr lang="en-US" sz="1100" baseline="0"/>
            <a:t>The Highest Transaction by amount falls within the range of $10-$1010 having the count of 28 revenue transactions </a:t>
          </a:r>
        </a:p>
        <a:p>
          <a:pPr algn="l"/>
          <a:r>
            <a:rPr lang="en-US" sz="1100" b="1" baseline="0"/>
            <a:t>Sales by product Category: </a:t>
          </a:r>
          <a:r>
            <a:rPr lang="en-US" sz="1100" b="0" baseline="0"/>
            <a:t>Soups</a:t>
          </a:r>
        </a:p>
        <a:p>
          <a:pPr algn="l"/>
          <a:r>
            <a:rPr lang="en-US" sz="1100" b="1" baseline="0"/>
            <a:t>Sales Performance Analysis: </a:t>
          </a:r>
          <a:r>
            <a:rPr lang="en-US" sz="1100" b="0" baseline="0"/>
            <a:t>Anne Larsen with $10,663 and Mariya Sergienko with $3,136 and Robert Zare with $3,030</a:t>
          </a:r>
          <a:endParaRPr lang="en-US" sz="1100" baseline="0"/>
        </a:p>
        <a:p>
          <a:pPr algn="l"/>
          <a:r>
            <a:rPr lang="en-US" sz="1100" b="1" baseline="0"/>
            <a:t>Top ten customer</a:t>
          </a:r>
          <a:r>
            <a:rPr lang="en-US" sz="1100" baseline="0"/>
            <a:t>: Company BB emerged as the top customer with $5,983 followed by customer Z, customer C and customer I.</a:t>
          </a:r>
        </a:p>
        <a:p>
          <a:pPr algn="ctr"/>
          <a:endParaRPr lang="en-US" sz="1100"/>
        </a:p>
      </xdr:txBody>
    </xdr:sp>
    <xdr:clientData/>
  </xdr:twoCellAnchor>
  <xdr:twoCellAnchor>
    <xdr:from>
      <xdr:col>0</xdr:col>
      <xdr:colOff>438150</xdr:colOff>
      <xdr:row>69</xdr:row>
      <xdr:rowOff>0</xdr:rowOff>
    </xdr:from>
    <xdr:to>
      <xdr:col>8</xdr:col>
      <xdr:colOff>561975</xdr:colOff>
      <xdr:row>86</xdr:row>
      <xdr:rowOff>66676</xdr:rowOff>
    </xdr:to>
    <xdr:sp macro="" textlink="">
      <xdr:nvSpPr>
        <xdr:cNvPr id="27" name="Rectangle: Rounded Corners 26">
          <a:extLst>
            <a:ext uri="{FF2B5EF4-FFF2-40B4-BE49-F238E27FC236}">
              <a16:creationId xmlns:a16="http://schemas.microsoft.com/office/drawing/2014/main" id="{3C37C6E1-E20B-D7FA-FBA1-B6494B5FEADC}"/>
            </a:ext>
          </a:extLst>
        </xdr:cNvPr>
        <xdr:cNvSpPr/>
      </xdr:nvSpPr>
      <xdr:spPr>
        <a:xfrm>
          <a:off x="438150" y="13144500"/>
          <a:ext cx="5000625" cy="330517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PAYMENT TYPE CONTEXT</a:t>
          </a:r>
        </a:p>
        <a:p>
          <a:pPr algn="ctr"/>
          <a:endParaRPr lang="en-US" sz="1100" baseline="0"/>
        </a:p>
        <a:p>
          <a:pPr algn="l"/>
          <a:r>
            <a:rPr lang="en-US" sz="1100" b="1" baseline="0"/>
            <a:t>CASH</a:t>
          </a:r>
        </a:p>
        <a:p>
          <a:pPr algn="l"/>
          <a:r>
            <a:rPr lang="en-US" sz="1100" b="1" baseline="0"/>
            <a:t>Sales Trend Report</a:t>
          </a:r>
          <a:r>
            <a:rPr lang="en-US" sz="1100" baseline="0"/>
            <a:t>: There is a gradual decline from may to august, which happens to be the least sales trend, highest sales in may $5,814.95</a:t>
          </a:r>
        </a:p>
        <a:p>
          <a:pPr algn="l"/>
          <a:r>
            <a:rPr lang="en-US" sz="1100" b="1" baseline="0"/>
            <a:t>Performance by State:</a:t>
          </a:r>
          <a:r>
            <a:rPr lang="en-US" sz="1100" baseline="0"/>
            <a:t> Did so well in New York amidst others states.</a:t>
          </a:r>
        </a:p>
        <a:p>
          <a:pPr algn="l"/>
          <a:r>
            <a:rPr lang="en-US" sz="1100" b="1" baseline="0"/>
            <a:t>Top Six ship Cities by Revenue: </a:t>
          </a:r>
          <a:r>
            <a:rPr lang="en-US" sz="1100" b="0" baseline="0"/>
            <a:t>Los Angelas peaked the ship city with reenue $26,446.25 and Chicago with $1,196.2</a:t>
          </a:r>
          <a:endParaRPr lang="en-US" sz="1100" baseline="0"/>
        </a:p>
        <a:p>
          <a:pPr algn="l"/>
          <a:r>
            <a:rPr lang="en-US" sz="1100" b="1" baseline="0"/>
            <a:t>Region Performers: </a:t>
          </a:r>
          <a:r>
            <a:rPr lang="en-US" sz="1100" b="0" baseline="0"/>
            <a:t>West region with $26,446. and East region with $11,962</a:t>
          </a:r>
          <a:endParaRPr lang="en-US" sz="1100" baseline="0"/>
        </a:p>
        <a:p>
          <a:pPr algn="l"/>
          <a:r>
            <a:rPr lang="en-US" sz="1100" b="1" baseline="0"/>
            <a:t>Transaction by amount: </a:t>
          </a:r>
          <a:r>
            <a:rPr lang="en-US" sz="1100" baseline="0"/>
            <a:t>The Highest Transaction by amount in the east falls within the range of $10-$1010 having the count of 25 revenue transactions.</a:t>
          </a:r>
        </a:p>
        <a:p>
          <a:pPr algn="l"/>
          <a:r>
            <a:rPr lang="en-US" sz="1100" b="1" baseline="0"/>
            <a:t>Sales by product Category: </a:t>
          </a:r>
          <a:r>
            <a:rPr lang="en-US" sz="1100" b="0" baseline="0"/>
            <a:t>Sauces with $18,080.00 and soups with $3,136.25</a:t>
          </a:r>
          <a:endParaRPr lang="en-US" sz="1100" b="1" baseline="0"/>
        </a:p>
        <a:p>
          <a:pPr algn="l"/>
          <a:r>
            <a:rPr lang="en-US" sz="1100" b="1" baseline="0"/>
            <a:t>Sales Performance Analysis: </a:t>
          </a:r>
          <a:r>
            <a:rPr lang="en-US" sz="1100" b="0" baseline="0"/>
            <a:t>Mariya Sergienko with $26,446, and Laura Giussani with $11,962 </a:t>
          </a:r>
        </a:p>
        <a:p>
          <a:pPr algn="l"/>
          <a:r>
            <a:rPr lang="en-US" sz="1100" b="1" baseline="0"/>
            <a:t>Top ten customer</a:t>
          </a:r>
          <a:r>
            <a:rPr lang="en-US" sz="1100" baseline="0"/>
            <a:t>: Company C emerged as the top customer with $26,446, and company Y with $11,962</a:t>
          </a:r>
        </a:p>
        <a:p>
          <a:pPr algn="ctr"/>
          <a:endParaRPr lang="en-US" sz="1100"/>
        </a:p>
      </xdr:txBody>
    </xdr:sp>
    <xdr:clientData/>
  </xdr:twoCellAnchor>
  <xdr:twoCellAnchor>
    <xdr:from>
      <xdr:col>9</xdr:col>
      <xdr:colOff>95250</xdr:colOff>
      <xdr:row>69</xdr:row>
      <xdr:rowOff>57150</xdr:rowOff>
    </xdr:from>
    <xdr:to>
      <xdr:col>17</xdr:col>
      <xdr:colOff>219075</xdr:colOff>
      <xdr:row>87</xdr:row>
      <xdr:rowOff>76200</xdr:rowOff>
    </xdr:to>
    <xdr:sp macro="" textlink="">
      <xdr:nvSpPr>
        <xdr:cNvPr id="6" name="Rectangle: Rounded Corners 5">
          <a:extLst>
            <a:ext uri="{FF2B5EF4-FFF2-40B4-BE49-F238E27FC236}">
              <a16:creationId xmlns:a16="http://schemas.microsoft.com/office/drawing/2014/main" id="{60D430B8-60C9-2265-3191-39ABC317F97E}"/>
            </a:ext>
          </a:extLst>
        </xdr:cNvPr>
        <xdr:cNvSpPr/>
      </xdr:nvSpPr>
      <xdr:spPr>
        <a:xfrm>
          <a:off x="5581650" y="13201650"/>
          <a:ext cx="5000625" cy="34480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PAYMENT TYPE CONTEXT</a:t>
          </a:r>
        </a:p>
        <a:p>
          <a:pPr algn="ctr"/>
          <a:endParaRPr lang="en-US" sz="1100" baseline="0"/>
        </a:p>
        <a:p>
          <a:pPr algn="l"/>
          <a:r>
            <a:rPr lang="en-US" sz="1100" b="1" baseline="0"/>
            <a:t>CHECK</a:t>
          </a:r>
        </a:p>
        <a:p>
          <a:pPr algn="l"/>
          <a:r>
            <a:rPr lang="en-US" sz="1100" b="1" baseline="0"/>
            <a:t>Sales Trend Report</a:t>
          </a:r>
          <a:r>
            <a:rPr lang="en-US" sz="1100" baseline="0"/>
            <a:t>: Highest sales in june with $15,362.30, followed by december with $15,085.15</a:t>
          </a:r>
        </a:p>
        <a:p>
          <a:pPr algn="l"/>
          <a:r>
            <a:rPr lang="en-US" sz="1100" b="1" baseline="0"/>
            <a:t>Performance by State:</a:t>
          </a:r>
          <a:r>
            <a:rPr lang="en-US" sz="1100" baseline="0"/>
            <a:t> Did so well in New York amidst others states.</a:t>
          </a:r>
        </a:p>
        <a:p>
          <a:pPr algn="l"/>
          <a:r>
            <a:rPr lang="en-US" sz="1100" b="1" baseline="0"/>
            <a:t>Top Six ship Cities by Revenue: </a:t>
          </a:r>
          <a:r>
            <a:rPr lang="en-US" sz="1100" b="0" baseline="0"/>
            <a:t>Portland peaked the ship city with revenue $34,363.55 and New york with $2,116.</a:t>
          </a:r>
          <a:endParaRPr lang="en-US" sz="1100" baseline="0"/>
        </a:p>
        <a:p>
          <a:pPr algn="l"/>
          <a:r>
            <a:rPr lang="en-US" sz="1100" b="1" baseline="0"/>
            <a:t>Region Performers: </a:t>
          </a:r>
          <a:r>
            <a:rPr lang="en-US" sz="1100" b="0" baseline="0"/>
            <a:t>West region with $50,173, North region with $48,029 and south region with $14,592.</a:t>
          </a:r>
          <a:endParaRPr lang="en-US" sz="1100" baseline="0"/>
        </a:p>
        <a:p>
          <a:pPr algn="l"/>
          <a:r>
            <a:rPr lang="en-US" sz="1100" b="1" baseline="0"/>
            <a:t>Transaction by amount: </a:t>
          </a:r>
          <a:r>
            <a:rPr lang="en-US" sz="1100" baseline="0"/>
            <a:t>The Highest Transaction by amount in the east falls within the range of $10-$1010 having the count of 58 revenue transactions.</a:t>
          </a:r>
        </a:p>
        <a:p>
          <a:pPr algn="l"/>
          <a:r>
            <a:rPr lang="en-US" sz="1100" b="1" baseline="0"/>
            <a:t>Sales by product Category: </a:t>
          </a:r>
          <a:r>
            <a:rPr lang="en-US" sz="1100" b="0" baseline="0"/>
            <a:t>Sauces with $22,920.00 and dried fruits and nut with $9,051.50</a:t>
          </a:r>
          <a:endParaRPr lang="en-US" sz="1100" b="1" baseline="0"/>
        </a:p>
        <a:p>
          <a:pPr algn="l"/>
          <a:r>
            <a:rPr lang="en-US" sz="1100" b="1" baseline="0"/>
            <a:t>Sales Performance Analysis: </a:t>
          </a:r>
          <a:r>
            <a:rPr lang="en-US" sz="1100" b="0" baseline="0"/>
            <a:t>nancy Freehafer with $34,364 and Mariya Sergienko with $1,292 </a:t>
          </a:r>
        </a:p>
        <a:p>
          <a:pPr algn="l"/>
          <a:r>
            <a:rPr lang="en-US" sz="1100" b="1" baseline="0"/>
            <a:t>Top ten customer</a:t>
          </a:r>
          <a:r>
            <a:rPr lang="en-US" sz="1100" baseline="0"/>
            <a:t>: Company H emerged as the top customer with $34,364 followed by company D and the company AA.</a:t>
          </a:r>
        </a:p>
        <a:p>
          <a:pPr algn="ctr"/>
          <a:endParaRPr lang="en-US" sz="1100"/>
        </a:p>
      </xdr:txBody>
    </xdr:sp>
    <xdr:clientData/>
  </xdr:twoCellAnchor>
  <xdr:twoCellAnchor>
    <xdr:from>
      <xdr:col>17</xdr:col>
      <xdr:colOff>447675</xdr:colOff>
      <xdr:row>69</xdr:row>
      <xdr:rowOff>28575</xdr:rowOff>
    </xdr:from>
    <xdr:to>
      <xdr:col>25</xdr:col>
      <xdr:colOff>571500</xdr:colOff>
      <xdr:row>87</xdr:row>
      <xdr:rowOff>47625</xdr:rowOff>
    </xdr:to>
    <xdr:sp macro="" textlink="">
      <xdr:nvSpPr>
        <xdr:cNvPr id="11" name="Rectangle: Rounded Corners 10">
          <a:extLst>
            <a:ext uri="{FF2B5EF4-FFF2-40B4-BE49-F238E27FC236}">
              <a16:creationId xmlns:a16="http://schemas.microsoft.com/office/drawing/2014/main" id="{5C0F45DC-371B-7A16-64F0-E3D5DAB9E2C5}"/>
            </a:ext>
          </a:extLst>
        </xdr:cNvPr>
        <xdr:cNvSpPr/>
      </xdr:nvSpPr>
      <xdr:spPr>
        <a:xfrm>
          <a:off x="10810875" y="13173075"/>
          <a:ext cx="5000625" cy="34480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GENERAL</a:t>
          </a:r>
          <a:r>
            <a:rPr lang="en-US" sz="1100" baseline="0"/>
            <a:t> OBSERVATION: PAYMENT TYPE CONTEXT</a:t>
          </a:r>
        </a:p>
        <a:p>
          <a:pPr algn="ctr"/>
          <a:endParaRPr lang="en-US" sz="1100" baseline="0"/>
        </a:p>
        <a:p>
          <a:pPr algn="l"/>
          <a:r>
            <a:rPr lang="en-US" sz="1100" b="1" baseline="0"/>
            <a:t>CREDIT CARD</a:t>
          </a:r>
        </a:p>
        <a:p>
          <a:pPr algn="l"/>
          <a:r>
            <a:rPr lang="en-US" sz="1100" b="1" baseline="0"/>
            <a:t>Sales Trend Report</a:t>
          </a:r>
          <a:r>
            <a:rPr lang="en-US" sz="1100" baseline="0"/>
            <a:t>: Highest sales in december with $29,783.54 while the lowest sale trend occurs in february with $3,382.25.</a:t>
          </a:r>
        </a:p>
        <a:p>
          <a:pPr algn="l"/>
          <a:r>
            <a:rPr lang="en-US" sz="1100" b="1" baseline="0"/>
            <a:t>Performance by State:</a:t>
          </a:r>
          <a:r>
            <a:rPr lang="en-US" sz="1100" baseline="0"/>
            <a:t> Did so well in New York amidst others states.</a:t>
          </a:r>
        </a:p>
        <a:p>
          <a:pPr algn="l"/>
          <a:r>
            <a:rPr lang="en-US" sz="1100" b="1" baseline="0"/>
            <a:t>Top Six ship Cities by Revenue: </a:t>
          </a:r>
          <a:r>
            <a:rPr lang="en-US" sz="1100" b="0" baseline="0"/>
            <a:t>New York peaked the ship city with revenue $55,944.5 and Las Vegas with $1,407.4</a:t>
          </a:r>
          <a:endParaRPr lang="en-US" sz="1100" baseline="0"/>
        </a:p>
        <a:p>
          <a:pPr algn="l"/>
          <a:r>
            <a:rPr lang="en-US" sz="1100" b="1" baseline="0"/>
            <a:t>Region Performers: </a:t>
          </a:r>
          <a:r>
            <a:rPr lang="en-US" sz="1100" b="0" baseline="0"/>
            <a:t>South region with $57,329, East region with $61,308 North region with $39, 607 and West region with $14, 078</a:t>
          </a:r>
          <a:endParaRPr lang="en-US" sz="1100" baseline="0"/>
        </a:p>
        <a:p>
          <a:pPr algn="l"/>
          <a:r>
            <a:rPr lang="en-US" sz="1100" b="1" baseline="0"/>
            <a:t>Transaction by amount: </a:t>
          </a:r>
          <a:r>
            <a:rPr lang="en-US" sz="1100" baseline="0"/>
            <a:t>The Highest Transaction by amount in the east falls within the range of $10-$1010 having the count of 73 revenue transactions.</a:t>
          </a:r>
        </a:p>
        <a:p>
          <a:pPr algn="l"/>
          <a:r>
            <a:rPr lang="en-US" sz="1100" b="1" baseline="0"/>
            <a:t>Sales by product Category: </a:t>
          </a:r>
          <a:r>
            <a:rPr lang="en-US" sz="1100" b="0" baseline="0"/>
            <a:t>jams preserves with $42,691.00 and oil with $13,322.40.</a:t>
          </a:r>
          <a:endParaRPr lang="en-US" sz="1100" b="1" baseline="0"/>
        </a:p>
        <a:p>
          <a:pPr algn="l"/>
          <a:r>
            <a:rPr lang="en-US" sz="1100" b="1" baseline="0"/>
            <a:t>Sales Performance Analysis: </a:t>
          </a:r>
          <a:r>
            <a:rPr lang="en-US" sz="1100" b="0" baseline="0"/>
            <a:t>Anne Larsen with $57,329 and Laura Giussani with $5,364 </a:t>
          </a:r>
        </a:p>
        <a:p>
          <a:pPr algn="l"/>
          <a:r>
            <a:rPr lang="en-US" sz="1100" b="1" baseline="0"/>
            <a:t>Top ten customer</a:t>
          </a:r>
          <a:r>
            <a:rPr lang="en-US" sz="1100" baseline="0"/>
            <a:t>: Company D emerged as the top customer.</a:t>
          </a:r>
        </a:p>
        <a:p>
          <a:pPr algn="ctr"/>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19</xdr:col>
      <xdr:colOff>200025</xdr:colOff>
      <xdr:row>35</xdr:row>
      <xdr:rowOff>76200</xdr:rowOff>
    </xdr:to>
    <xdr:sp macro="" textlink="">
      <xdr:nvSpPr>
        <xdr:cNvPr id="3" name="Rectangle: Rounded Corners 2">
          <a:extLst>
            <a:ext uri="{FF2B5EF4-FFF2-40B4-BE49-F238E27FC236}">
              <a16:creationId xmlns:a16="http://schemas.microsoft.com/office/drawing/2014/main" id="{19B67BAB-8A37-4AD2-9E9A-B45E2383378B}"/>
            </a:ext>
          </a:extLst>
        </xdr:cNvPr>
        <xdr:cNvSpPr/>
      </xdr:nvSpPr>
      <xdr:spPr>
        <a:xfrm>
          <a:off x="104775" y="95250"/>
          <a:ext cx="11677650" cy="6648450"/>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RECOMMENDATION/INSIGHT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ANDREW CENCINI</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Finetune the factors responsible for Andrew's sales in increase in the month of june, by investigating and interrogating the marketing team and the PRO team and apply that same principles to the other months that are not so performing well.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 More of Jams, preserves product should be produce more often to increase revenue since its the highest purchased product and products likes baked goods and milks should be less produced to avoid loss of money, these can be done by bringing the attention of the production team.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3. A thorough investigation should be done in company D, in order to finetune out the reason it having slow sales baked goods and milk, probably it's the customer preference choice or the product packaging.</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JAN KOTAS</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Jan Kotas also has the highest sales in the month of june, showing like a trend now amongst the months, these trend should be taken advantage of by the marketing team to generate more revenue.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 Denver appears to be the top ship city utilized by Jan, that means Jan has more customers from denver, which purchased beverage, fruits and vegetables and candy most of the time and these products mostly falls between the revenue range $10-$1010. Finetune out the demographic of customers in Denver to better serve them the readily products and get rid of those less purchased product to boost productivity.</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3. The top customer for Jan Kotas which is company CC, should be investigated to know why there are less products purchased in other months expert june.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Nancy Freehafer</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Products thats falls within the range of $10-$1010 has the highest count of revenue transactions, these should be taken note of in order to produce products that falls within that range to increase revenue generated and those produtcs range less purchased can be looked into and make some adjustments like putting them on bonus goods for quick purchase by customers.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2.Finetune the customers preferences each months in the top ship cities in order to improve efficiency in those ship cities that are less utilised, and these can be achieved by contacting the admin team and the marketing team.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3. Nancy Freehafer has the highest sales in December, that shows that most of the customers purchased products in December, investigating the reason for that high sales in the month could be done by making enquires from the marketing team and the information gotten could be suggested for Jan Kotas to make more revenue in December.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Robert Zare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More of dairy products should be produced in the west region where Robert is located into other regions like the south, north and east region, before implementing that customer preference should be investigated to ensure management of resources and energy.</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 Products within the range of $10-$1010 should be manaufactured more often and shipped to lake salt city that seems to be the frequent ship city engaged.</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  </a:t>
          </a:r>
        </a:p>
      </xdr:txBody>
    </xdr:sp>
    <xdr:clientData/>
  </xdr:twoCellAnchor>
  <xdr:twoCellAnchor>
    <xdr:from>
      <xdr:col>0</xdr:col>
      <xdr:colOff>0</xdr:colOff>
      <xdr:row>39</xdr:row>
      <xdr:rowOff>161925</xdr:rowOff>
    </xdr:from>
    <xdr:to>
      <xdr:col>19</xdr:col>
      <xdr:colOff>95250</xdr:colOff>
      <xdr:row>74</xdr:row>
      <xdr:rowOff>142875</xdr:rowOff>
    </xdr:to>
    <xdr:sp macro="" textlink="">
      <xdr:nvSpPr>
        <xdr:cNvPr id="2" name="Rectangle: Rounded Corners 1">
          <a:extLst>
            <a:ext uri="{FF2B5EF4-FFF2-40B4-BE49-F238E27FC236}">
              <a16:creationId xmlns:a16="http://schemas.microsoft.com/office/drawing/2014/main" id="{0405159D-F31E-DCBF-F595-183E6CC067A0}"/>
            </a:ext>
          </a:extLst>
        </xdr:cNvPr>
        <xdr:cNvSpPr/>
      </xdr:nvSpPr>
      <xdr:spPr>
        <a:xfrm>
          <a:off x="0" y="7591425"/>
          <a:ext cx="11677650" cy="6648450"/>
        </a:xfrm>
        <a:prstGeom prst="roundRect">
          <a:avLst/>
        </a:prstGeom>
        <a:solidFill>
          <a:srgbClr val="4472C4">
            <a:lumMod val="50000"/>
          </a:srgbClr>
        </a:solidFill>
        <a:ln w="12700" cap="flat" cmpd="sng" algn="ctr">
          <a:solidFill>
            <a:srgbClr val="5B9BD5">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GENERAL OBSERVATION RECOMMENDATION/INSIGHT</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SOUTH REGION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Finetune out the factors responsible for the gradual increase in sales in the month of October, November and December, solidify the factors and implement them in those months with less sales by informing the marketing and PRO team.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 Anne Larsen which happens to be the sales person in the south region should inform the production team to produce more of products within the revenue range $10-$1010 and less produce of products within $4010-$5010 to optimise efficiency.</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3. Company BB and Company K should be awarded some accolades, and seek ways to serve them better.</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WEST REGION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A quick and thorough investigation should be taken to know the reason why there is a gradual decline from the month of june, july and august by involving the  marketing, production and PRO team.</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 Mariya Sergienko and Jan Kotas should be paired together to work for awhile so that Jan Kotas will learn and become more efficient in generating more revenue.</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FOR NORTH REGION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1. Nancy Freehafer and Micheal Neipper should take the iniative to finetune out why some months in the region are generating really low revenue and what actions can be put into place to make more revenue by researching the marketing team, production team and the likes.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rPr>
            <a:t>2. Finetune out the strategies implemented that makes portland the top shipping city, maybe the customers preference of product suites the city and the likes, by interrogating the marketing team</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er" refreshedDate="45864.459775810188" createdVersion="8" refreshedVersion="8" minRefreshableVersion="3" recordCount="369" xr:uid="{D49BB83E-60A5-4C34-8F0E-D8C43637EA7E}">
  <cacheSource type="worksheet">
    <worksheetSource ref="A1:Z370" sheet="Data (2)"/>
  </cacheSource>
  <cacheFields count="28">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ount="12">
        <s v="NV"/>
        <s v="NY"/>
        <s v="OR"/>
        <s v="CO"/>
        <s v="CA"/>
        <s v="WI"/>
        <s v="TN"/>
        <s v="IL"/>
        <s v="ID"/>
        <s v="FL"/>
        <s v="WA"/>
        <s v="UT"/>
      </sharedItems>
    </cacheField>
    <cacheField name="Ship ZIP/Postal Code" numFmtId="0">
      <sharedItems containsSemiMixedTypes="0" containsString="0" containsNumber="1" containsInteger="1" minValue="99999" maxValue="99999"/>
    </cacheField>
    <cacheField name="Ship Country/Region" numFmtId="0">
      <sharedItems count="1">
        <s v="USA"/>
      </sharedItems>
    </cacheField>
    <cacheField name="Payment Type" numFmtId="0">
      <sharedItems containsBlank="1" count="4">
        <s v="Check"/>
        <s v="Credit Card"/>
        <s v="Cash"/>
        <m/>
      </sharedItems>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startNum="10" endNum="7938" groupInterval="1000"/>
        <groupItems count="10">
          <s v="&lt;10"/>
          <s v="10-1010"/>
          <s v="1010-2010"/>
          <s v="2010-3010"/>
          <s v="3010-4010"/>
          <s v="4010-5010"/>
          <s v="5010-6010"/>
          <s v="6010-7010"/>
          <s v="7010-8010"/>
          <s v="&gt;801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2317599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x v="0"/>
    <n v="99999"/>
    <x v="0"/>
    <x v="0"/>
    <x v="0"/>
    <x v="0"/>
    <n v="14"/>
    <n v="49"/>
    <x v="0"/>
    <n v="66.542000000000002"/>
  </r>
  <r>
    <n v="1002"/>
    <x v="0"/>
    <n v="27"/>
    <x v="0"/>
    <s v="789 27th Street"/>
    <x v="0"/>
    <x v="0"/>
    <n v="99999"/>
    <s v="USA"/>
    <x v="0"/>
    <x v="0"/>
    <d v="2014-01-29T00:00:00"/>
    <s v="Shipping Company B"/>
    <s v="Karen Toh"/>
    <s v="789 27th Street"/>
    <x v="0"/>
    <x v="0"/>
    <n v="99999"/>
    <x v="0"/>
    <x v="0"/>
    <x v="1"/>
    <x v="1"/>
    <n v="3.5"/>
    <n v="47"/>
    <x v="1"/>
    <n v="16.6145"/>
  </r>
  <r>
    <n v="1003"/>
    <x v="1"/>
    <n v="4"/>
    <x v="1"/>
    <s v="123 4th Street"/>
    <x v="1"/>
    <x v="1"/>
    <n v="99999"/>
    <s v="USA"/>
    <x v="1"/>
    <x v="1"/>
    <d v="2014-01-06T00:00:00"/>
    <s v="Shipping Company A"/>
    <s v="Christina Lee"/>
    <s v="123 4th Street"/>
    <x v="1"/>
    <x v="1"/>
    <n v="99999"/>
    <x v="0"/>
    <x v="1"/>
    <x v="2"/>
    <x v="1"/>
    <n v="30"/>
    <n v="69"/>
    <x v="2"/>
    <n v="198.72"/>
  </r>
  <r>
    <n v="1004"/>
    <x v="1"/>
    <n v="4"/>
    <x v="1"/>
    <s v="123 4th Street"/>
    <x v="1"/>
    <x v="1"/>
    <n v="99999"/>
    <s v="USA"/>
    <x v="1"/>
    <x v="1"/>
    <d v="2014-01-06T00:00:00"/>
    <s v="Shipping Company A"/>
    <s v="Christina Lee"/>
    <s v="123 4th Street"/>
    <x v="1"/>
    <x v="1"/>
    <n v="99999"/>
    <x v="0"/>
    <x v="1"/>
    <x v="3"/>
    <x v="1"/>
    <n v="53"/>
    <n v="89"/>
    <x v="3"/>
    <n v="448.11500000000001"/>
  </r>
  <r>
    <n v="1005"/>
    <x v="1"/>
    <n v="4"/>
    <x v="1"/>
    <s v="123 4th Street"/>
    <x v="1"/>
    <x v="1"/>
    <n v="99999"/>
    <s v="USA"/>
    <x v="1"/>
    <x v="1"/>
    <d v="2014-01-06T00:00:00"/>
    <s v="Shipping Company A"/>
    <s v="Christina Lee"/>
    <s v="123 4th Street"/>
    <x v="1"/>
    <x v="1"/>
    <n v="99999"/>
    <x v="0"/>
    <x v="1"/>
    <x v="1"/>
    <x v="1"/>
    <n v="3.5"/>
    <n v="11"/>
    <x v="4"/>
    <n v="3.7345000000000002"/>
  </r>
  <r>
    <n v="1006"/>
    <x v="2"/>
    <n v="12"/>
    <x v="2"/>
    <s v="123 12th Street"/>
    <x v="0"/>
    <x v="0"/>
    <n v="99999"/>
    <s v="USA"/>
    <x v="0"/>
    <x v="0"/>
    <d v="2014-01-14T00:00:00"/>
    <s v="Shipping Company B"/>
    <s v="John Edwards"/>
    <s v="123 12th Street"/>
    <x v="0"/>
    <x v="0"/>
    <n v="99999"/>
    <x v="0"/>
    <x v="1"/>
    <x v="4"/>
    <x v="0"/>
    <n v="18"/>
    <n v="81"/>
    <x v="5"/>
    <n v="141.42600000000002"/>
  </r>
  <r>
    <n v="1007"/>
    <x v="2"/>
    <n v="12"/>
    <x v="2"/>
    <s v="123 12th Street"/>
    <x v="0"/>
    <x v="0"/>
    <n v="99999"/>
    <s v="USA"/>
    <x v="0"/>
    <x v="0"/>
    <d v="2014-01-14T00:00:00"/>
    <s v="Shipping Company B"/>
    <s v="John Edwards"/>
    <s v="123 12th Street"/>
    <x v="0"/>
    <x v="0"/>
    <n v="99999"/>
    <x v="0"/>
    <x v="1"/>
    <x v="5"/>
    <x v="0"/>
    <n v="46"/>
    <n v="44"/>
    <x v="6"/>
    <n v="198.352"/>
  </r>
  <r>
    <n v="1008"/>
    <x v="3"/>
    <n v="8"/>
    <x v="3"/>
    <s v="123 8th Street"/>
    <x v="2"/>
    <x v="2"/>
    <n v="99999"/>
    <s v="USA"/>
    <x v="2"/>
    <x v="2"/>
    <d v="2014-01-10T00:00:00"/>
    <s v="Shipping Company C"/>
    <s v="Elizabeth Andersen"/>
    <s v="123 8th Street"/>
    <x v="2"/>
    <x v="2"/>
    <n v="99999"/>
    <x v="0"/>
    <x v="1"/>
    <x v="6"/>
    <x v="2"/>
    <n v="9.1999999999999993"/>
    <n v="38"/>
    <x v="7"/>
    <n v="36.008800000000001"/>
  </r>
  <r>
    <n v="1009"/>
    <x v="1"/>
    <n v="4"/>
    <x v="1"/>
    <s v="123 4th Street"/>
    <x v="1"/>
    <x v="1"/>
    <n v="99999"/>
    <s v="USA"/>
    <x v="1"/>
    <x v="1"/>
    <d v="2014-01-06T00:00:00"/>
    <s v="Shipping Company C"/>
    <s v="Christina Lee"/>
    <s v="123 4th Street"/>
    <x v="1"/>
    <x v="1"/>
    <n v="99999"/>
    <x v="0"/>
    <x v="0"/>
    <x v="6"/>
    <x v="2"/>
    <n v="9.1999999999999993"/>
    <n v="88"/>
    <x v="8"/>
    <n v="79.340799999999987"/>
  </r>
  <r>
    <n v="1010"/>
    <x v="4"/>
    <n v="29"/>
    <x v="4"/>
    <s v="789 29th Street"/>
    <x v="3"/>
    <x v="3"/>
    <n v="99999"/>
    <s v="USA"/>
    <x v="3"/>
    <x v="0"/>
    <d v="2014-01-31T00:00:00"/>
    <s v="Shipping Company B"/>
    <s v="Soo Jung Lee"/>
    <s v="789 29th Street"/>
    <x v="3"/>
    <x v="3"/>
    <n v="99999"/>
    <x v="0"/>
    <x v="0"/>
    <x v="7"/>
    <x v="3"/>
    <n v="12.75"/>
    <n v="94"/>
    <x v="9"/>
    <n v="122.24700000000001"/>
  </r>
  <r>
    <n v="1011"/>
    <x v="5"/>
    <n v="3"/>
    <x v="5"/>
    <s v="123 3rd Street"/>
    <x v="4"/>
    <x v="4"/>
    <n v="99999"/>
    <s v="USA"/>
    <x v="0"/>
    <x v="0"/>
    <d v="2014-01-05T00:00:00"/>
    <s v="Shipping Company B"/>
    <s v="Thomas Axerr"/>
    <s v="123 3rd Street"/>
    <x v="4"/>
    <x v="4"/>
    <n v="99999"/>
    <x v="0"/>
    <x v="2"/>
    <x v="8"/>
    <x v="4"/>
    <n v="9.65"/>
    <n v="91"/>
    <x v="10"/>
    <n v="92.205749999999995"/>
  </r>
  <r>
    <n v="1012"/>
    <x v="6"/>
    <n v="6"/>
    <x v="6"/>
    <s v="123 6th Street"/>
    <x v="5"/>
    <x v="5"/>
    <n v="99999"/>
    <s v="USA"/>
    <x v="4"/>
    <x v="2"/>
    <d v="2014-01-08T00:00:00"/>
    <s v="Shipping Company B"/>
    <s v="Francisco Pérez-Olaeta"/>
    <s v="123 6th Street"/>
    <x v="5"/>
    <x v="5"/>
    <n v="99999"/>
    <x v="0"/>
    <x v="1"/>
    <x v="9"/>
    <x v="5"/>
    <n v="40"/>
    <n v="32"/>
    <x v="11"/>
    <n v="133.12"/>
  </r>
  <r>
    <n v="1013"/>
    <x v="7"/>
    <n v="28"/>
    <x v="7"/>
    <s v="789 28th Street"/>
    <x v="6"/>
    <x v="6"/>
    <n v="99999"/>
    <s v="USA"/>
    <x v="5"/>
    <x v="3"/>
    <d v="2014-01-30T00:00:00"/>
    <s v="Shipping Company C"/>
    <s v="Amritansh Raghav"/>
    <s v="789 28th Street"/>
    <x v="6"/>
    <x v="6"/>
    <n v="99999"/>
    <x v="0"/>
    <x v="0"/>
    <x v="5"/>
    <x v="0"/>
    <n v="46"/>
    <n v="55"/>
    <x v="12"/>
    <n v="253"/>
  </r>
  <r>
    <n v="1014"/>
    <x v="3"/>
    <n v="8"/>
    <x v="3"/>
    <s v="123 8th Street"/>
    <x v="2"/>
    <x v="2"/>
    <n v="99999"/>
    <s v="USA"/>
    <x v="2"/>
    <x v="2"/>
    <d v="2014-01-10T00:00:00"/>
    <s v="Shipping Company C"/>
    <s v="Elizabeth Andersen"/>
    <s v="123 8th Street"/>
    <x v="2"/>
    <x v="2"/>
    <n v="99999"/>
    <x v="0"/>
    <x v="0"/>
    <x v="7"/>
    <x v="3"/>
    <n v="12.75"/>
    <n v="47"/>
    <x v="13"/>
    <n v="61.722750000000005"/>
  </r>
  <r>
    <n v="1015"/>
    <x v="8"/>
    <n v="10"/>
    <x v="8"/>
    <s v="123 10th Street"/>
    <x v="7"/>
    <x v="7"/>
    <n v="99999"/>
    <s v="USA"/>
    <x v="6"/>
    <x v="1"/>
    <d v="2014-01-12T00:00:00"/>
    <s v="Shipping Company B"/>
    <s v="Roland Wacker"/>
    <s v="123 10th Street"/>
    <x v="7"/>
    <x v="7"/>
    <n v="99999"/>
    <x v="0"/>
    <x v="1"/>
    <x v="10"/>
    <x v="0"/>
    <n v="2.99"/>
    <n v="90"/>
    <x v="14"/>
    <n v="27.717300000000005"/>
  </r>
  <r>
    <n v="1016"/>
    <x v="9"/>
    <n v="7"/>
    <x v="9"/>
    <s v="123 7th Street"/>
    <x v="8"/>
    <x v="8"/>
    <n v="99999"/>
    <s v="USA"/>
    <x v="2"/>
    <x v="2"/>
    <m/>
    <m/>
    <s v="Ming-Yang Xie"/>
    <s v="123 7th Street"/>
    <x v="8"/>
    <x v="8"/>
    <n v="99999"/>
    <x v="0"/>
    <x v="3"/>
    <x v="5"/>
    <x v="0"/>
    <n v="46"/>
    <n v="24"/>
    <x v="15"/>
    <n v="110.4"/>
  </r>
  <r>
    <n v="1017"/>
    <x v="8"/>
    <n v="10"/>
    <x v="8"/>
    <s v="123 10th Street"/>
    <x v="7"/>
    <x v="7"/>
    <n v="99999"/>
    <s v="USA"/>
    <x v="6"/>
    <x v="1"/>
    <d v="2014-01-12T00:00:00"/>
    <s v="Shipping Company A"/>
    <s v="Roland Wacker"/>
    <s v="123 10th Street"/>
    <x v="7"/>
    <x v="7"/>
    <n v="99999"/>
    <x v="0"/>
    <x v="3"/>
    <x v="11"/>
    <x v="6"/>
    <n v="25"/>
    <n v="34"/>
    <x v="16"/>
    <n v="80.75"/>
  </r>
  <r>
    <n v="1018"/>
    <x v="8"/>
    <n v="10"/>
    <x v="8"/>
    <s v="123 10th Street"/>
    <x v="7"/>
    <x v="7"/>
    <n v="99999"/>
    <s v="USA"/>
    <x v="6"/>
    <x v="1"/>
    <d v="2014-01-12T00:00:00"/>
    <s v="Shipping Company A"/>
    <s v="Roland Wacker"/>
    <s v="123 10th Street"/>
    <x v="7"/>
    <x v="7"/>
    <n v="99999"/>
    <x v="0"/>
    <x v="3"/>
    <x v="12"/>
    <x v="7"/>
    <n v="22"/>
    <n v="17"/>
    <x v="17"/>
    <n v="35.903999999999996"/>
  </r>
  <r>
    <n v="1019"/>
    <x v="8"/>
    <n v="10"/>
    <x v="8"/>
    <s v="123 10th Street"/>
    <x v="7"/>
    <x v="7"/>
    <n v="99999"/>
    <s v="USA"/>
    <x v="6"/>
    <x v="1"/>
    <d v="2014-01-12T00:00:00"/>
    <s v="Shipping Company A"/>
    <s v="Roland Wacker"/>
    <s v="123 10th Street"/>
    <x v="7"/>
    <x v="7"/>
    <n v="99999"/>
    <x v="0"/>
    <x v="3"/>
    <x v="6"/>
    <x v="2"/>
    <n v="9.1999999999999993"/>
    <n v="44"/>
    <x v="18"/>
    <n v="42.099199999999996"/>
  </r>
  <r>
    <n v="1020"/>
    <x v="10"/>
    <n v="11"/>
    <x v="10"/>
    <s v="123 11th Street"/>
    <x v="9"/>
    <x v="9"/>
    <n v="99999"/>
    <s v="USA"/>
    <x v="5"/>
    <x v="3"/>
    <m/>
    <s v="Shipping Company C"/>
    <s v="Peter Krschne"/>
    <s v="123 11th Street"/>
    <x v="9"/>
    <x v="9"/>
    <n v="99999"/>
    <x v="0"/>
    <x v="3"/>
    <x v="1"/>
    <x v="1"/>
    <n v="3.5"/>
    <n v="81"/>
    <x v="19"/>
    <n v="27.499500000000001"/>
  </r>
  <r>
    <n v="1021"/>
    <x v="10"/>
    <n v="11"/>
    <x v="10"/>
    <s v="123 11th Street"/>
    <x v="9"/>
    <x v="9"/>
    <n v="99999"/>
    <s v="USA"/>
    <x v="5"/>
    <x v="3"/>
    <m/>
    <s v="Shipping Company C"/>
    <s v="Peter Krschne"/>
    <s v="123 11th Street"/>
    <x v="9"/>
    <x v="9"/>
    <n v="99999"/>
    <x v="0"/>
    <x v="3"/>
    <x v="10"/>
    <x v="0"/>
    <n v="2.99"/>
    <n v="49"/>
    <x v="20"/>
    <n v="15.090530000000005"/>
  </r>
  <r>
    <n v="1022"/>
    <x v="11"/>
    <n v="1"/>
    <x v="11"/>
    <s v="123 1st Street"/>
    <x v="10"/>
    <x v="10"/>
    <n v="99999"/>
    <s v="USA"/>
    <x v="2"/>
    <x v="2"/>
    <m/>
    <m/>
    <s v="Anna Bedecs"/>
    <s v="123 1st Street"/>
    <x v="10"/>
    <x v="10"/>
    <n v="99999"/>
    <x v="0"/>
    <x v="3"/>
    <x v="4"/>
    <x v="0"/>
    <n v="18"/>
    <n v="42"/>
    <x v="21"/>
    <n v="75.600000000000009"/>
  </r>
  <r>
    <n v="1023"/>
    <x v="11"/>
    <n v="1"/>
    <x v="11"/>
    <s v="123 1st Street"/>
    <x v="10"/>
    <x v="10"/>
    <n v="99999"/>
    <s v="USA"/>
    <x v="2"/>
    <x v="2"/>
    <m/>
    <m/>
    <s v="Anna Bedecs"/>
    <s v="123 1st Street"/>
    <x v="10"/>
    <x v="10"/>
    <n v="99999"/>
    <x v="0"/>
    <x v="3"/>
    <x v="5"/>
    <x v="0"/>
    <n v="46"/>
    <n v="58"/>
    <x v="22"/>
    <n v="269.46800000000002"/>
  </r>
  <r>
    <n v="1024"/>
    <x v="11"/>
    <n v="1"/>
    <x v="11"/>
    <s v="123 1st Street"/>
    <x v="10"/>
    <x v="10"/>
    <n v="99999"/>
    <s v="USA"/>
    <x v="2"/>
    <x v="2"/>
    <m/>
    <m/>
    <s v="Anna Bedecs"/>
    <s v="123 1st Street"/>
    <x v="10"/>
    <x v="10"/>
    <n v="99999"/>
    <x v="0"/>
    <x v="3"/>
    <x v="10"/>
    <x v="0"/>
    <n v="2.99"/>
    <n v="67"/>
    <x v="23"/>
    <n v="20.033000000000001"/>
  </r>
  <r>
    <n v="1025"/>
    <x v="7"/>
    <n v="28"/>
    <x v="7"/>
    <s v="789 28th Street"/>
    <x v="6"/>
    <x v="6"/>
    <n v="99999"/>
    <s v="USA"/>
    <x v="5"/>
    <x v="3"/>
    <d v="2014-01-30T00:00:00"/>
    <s v="Shipping Company C"/>
    <s v="Amritansh Raghav"/>
    <s v="789 28th Street"/>
    <x v="6"/>
    <x v="6"/>
    <n v="99999"/>
    <x v="0"/>
    <x v="1"/>
    <x v="8"/>
    <x v="4"/>
    <n v="9.65"/>
    <n v="100"/>
    <x v="24"/>
    <n v="93.605000000000004"/>
  </r>
  <r>
    <n v="1026"/>
    <x v="7"/>
    <n v="28"/>
    <x v="7"/>
    <s v="789 28th Street"/>
    <x v="6"/>
    <x v="6"/>
    <n v="99999"/>
    <s v="USA"/>
    <x v="5"/>
    <x v="3"/>
    <d v="2014-01-30T00:00:00"/>
    <s v="Shipping Company C"/>
    <s v="Amritansh Raghav"/>
    <s v="789 28th Street"/>
    <x v="6"/>
    <x v="6"/>
    <n v="99999"/>
    <x v="0"/>
    <x v="1"/>
    <x v="13"/>
    <x v="8"/>
    <n v="18.399999999999999"/>
    <n v="63"/>
    <x v="25"/>
    <n v="114.76079999999999"/>
  </r>
  <r>
    <n v="1027"/>
    <x v="12"/>
    <n v="9"/>
    <x v="12"/>
    <s v="123 9th Street"/>
    <x v="11"/>
    <x v="11"/>
    <n v="99999"/>
    <s v="USA"/>
    <x v="7"/>
    <x v="0"/>
    <d v="2014-01-11T00:00:00"/>
    <s v="Shipping Company A"/>
    <s v="Sven Mortensen"/>
    <s v="123 9th Street"/>
    <x v="11"/>
    <x v="11"/>
    <n v="99999"/>
    <x v="0"/>
    <x v="0"/>
    <x v="14"/>
    <x v="9"/>
    <n v="19.5"/>
    <n v="57"/>
    <x v="26"/>
    <n v="110.0385"/>
  </r>
  <r>
    <n v="1028"/>
    <x v="12"/>
    <n v="9"/>
    <x v="12"/>
    <s v="123 9th Street"/>
    <x v="11"/>
    <x v="11"/>
    <n v="99999"/>
    <s v="USA"/>
    <x v="7"/>
    <x v="0"/>
    <d v="2014-01-11T00:00:00"/>
    <s v="Shipping Company A"/>
    <s v="Sven Mortensen"/>
    <s v="123 9th Street"/>
    <x v="11"/>
    <x v="11"/>
    <n v="99999"/>
    <x v="0"/>
    <x v="0"/>
    <x v="15"/>
    <x v="10"/>
    <n v="34.799999999999997"/>
    <n v="81"/>
    <x v="27"/>
    <n v="295.97399999999999"/>
  </r>
  <r>
    <n v="1029"/>
    <x v="6"/>
    <n v="6"/>
    <x v="6"/>
    <s v="123 6th Street"/>
    <x v="5"/>
    <x v="5"/>
    <n v="99999"/>
    <s v="USA"/>
    <x v="4"/>
    <x v="2"/>
    <d v="2014-01-08T00:00:00"/>
    <s v="Shipping Company B"/>
    <s v="Francisco Pérez-Olaeta"/>
    <s v="123 6th Street"/>
    <x v="5"/>
    <x v="5"/>
    <n v="99999"/>
    <x v="0"/>
    <x v="1"/>
    <x v="0"/>
    <x v="0"/>
    <n v="14"/>
    <n v="71"/>
    <x v="28"/>
    <n v="95.424000000000007"/>
  </r>
  <r>
    <n v="1030"/>
    <x v="13"/>
    <n v="8"/>
    <x v="3"/>
    <s v="123 8th Street"/>
    <x v="2"/>
    <x v="2"/>
    <n v="99999"/>
    <s v="USA"/>
    <x v="2"/>
    <x v="2"/>
    <d v="2014-02-10T00:00:00"/>
    <s v="Shipping Company B"/>
    <s v="Elizabeth Andersen"/>
    <s v="123 8th Street"/>
    <x v="2"/>
    <x v="2"/>
    <n v="99999"/>
    <x v="0"/>
    <x v="0"/>
    <x v="9"/>
    <x v="5"/>
    <n v="40"/>
    <n v="32"/>
    <x v="11"/>
    <n v="129.28"/>
  </r>
  <r>
    <n v="1031"/>
    <x v="14"/>
    <n v="3"/>
    <x v="5"/>
    <s v="123 3rd Street"/>
    <x v="4"/>
    <x v="4"/>
    <n v="99999"/>
    <s v="USA"/>
    <x v="0"/>
    <x v="0"/>
    <d v="2014-02-05T00:00:00"/>
    <s v="Shipping Company B"/>
    <s v="Thomas Axerr"/>
    <s v="123 3rd Street"/>
    <x v="4"/>
    <x v="4"/>
    <n v="99999"/>
    <x v="0"/>
    <x v="2"/>
    <x v="16"/>
    <x v="7"/>
    <n v="10"/>
    <n v="63"/>
    <x v="29"/>
    <n v="65.52"/>
  </r>
  <r>
    <n v="1032"/>
    <x v="14"/>
    <n v="3"/>
    <x v="5"/>
    <s v="123 3rd Street"/>
    <x v="4"/>
    <x v="4"/>
    <n v="99999"/>
    <s v="USA"/>
    <x v="0"/>
    <x v="0"/>
    <d v="2014-02-05T00:00:00"/>
    <s v="Shipping Company B"/>
    <s v="Thomas Axerr"/>
    <s v="123 3rd Street"/>
    <x v="4"/>
    <x v="4"/>
    <n v="99999"/>
    <x v="0"/>
    <x v="2"/>
    <x v="9"/>
    <x v="5"/>
    <n v="40"/>
    <n v="30"/>
    <x v="30"/>
    <n v="120"/>
  </r>
  <r>
    <n v="1033"/>
    <x v="15"/>
    <n v="6"/>
    <x v="6"/>
    <s v="123 6th Street"/>
    <x v="5"/>
    <x v="5"/>
    <n v="99999"/>
    <s v="USA"/>
    <x v="4"/>
    <x v="2"/>
    <d v="2014-02-08T00:00:00"/>
    <s v="Shipping Company B"/>
    <s v="Francisco Pérez-Olaeta"/>
    <s v="123 6th Street"/>
    <x v="5"/>
    <x v="5"/>
    <n v="99999"/>
    <x v="0"/>
    <x v="1"/>
    <x v="17"/>
    <x v="11"/>
    <m/>
    <m/>
    <x v="31"/>
    <n v="43"/>
  </r>
  <r>
    <n v="1034"/>
    <x v="16"/>
    <n v="28"/>
    <x v="7"/>
    <s v="789 28th Street"/>
    <x v="6"/>
    <x v="6"/>
    <n v="99999"/>
    <s v="USA"/>
    <x v="5"/>
    <x v="3"/>
    <d v="2014-03-02T00:00:00"/>
    <s v="Shipping Company C"/>
    <s v="Amritansh Raghav"/>
    <s v="789 28th Street"/>
    <x v="6"/>
    <x v="6"/>
    <n v="99999"/>
    <x v="0"/>
    <x v="0"/>
    <x v="17"/>
    <x v="11"/>
    <m/>
    <m/>
    <x v="31"/>
    <n v="31"/>
  </r>
  <r>
    <n v="1035"/>
    <x v="13"/>
    <n v="8"/>
    <x v="3"/>
    <s v="123 8th Street"/>
    <x v="2"/>
    <x v="2"/>
    <n v="99999"/>
    <s v="USA"/>
    <x v="2"/>
    <x v="2"/>
    <d v="2014-02-10T00:00:00"/>
    <s v="Shipping Company C"/>
    <s v="Elizabeth Andersen"/>
    <s v="123 8th Street"/>
    <x v="2"/>
    <x v="2"/>
    <n v="99999"/>
    <x v="0"/>
    <x v="0"/>
    <x v="17"/>
    <x v="11"/>
    <m/>
    <m/>
    <x v="31"/>
    <n v="46"/>
  </r>
  <r>
    <n v="1036"/>
    <x v="17"/>
    <n v="10"/>
    <x v="8"/>
    <s v="123 10th Street"/>
    <x v="7"/>
    <x v="7"/>
    <n v="99999"/>
    <s v="USA"/>
    <x v="6"/>
    <x v="1"/>
    <d v="2014-02-12T00:00:00"/>
    <s v="Shipping Company B"/>
    <s v="Roland Wacker"/>
    <s v="123 10th Street"/>
    <x v="7"/>
    <x v="7"/>
    <n v="99999"/>
    <x v="0"/>
    <x v="1"/>
    <x v="18"/>
    <x v="1"/>
    <n v="10"/>
    <n v="47"/>
    <x v="32"/>
    <n v="48.88"/>
  </r>
  <r>
    <n v="1038"/>
    <x v="17"/>
    <n v="10"/>
    <x v="8"/>
    <s v="123 10th Street"/>
    <x v="7"/>
    <x v="7"/>
    <n v="99999"/>
    <s v="USA"/>
    <x v="6"/>
    <x v="1"/>
    <m/>
    <s v="Shipping Company A"/>
    <s v="Roland Wacker"/>
    <s v="123 10th Street"/>
    <x v="7"/>
    <x v="7"/>
    <n v="99999"/>
    <x v="0"/>
    <x v="3"/>
    <x v="1"/>
    <x v="1"/>
    <n v="3.5"/>
    <n v="49"/>
    <x v="33"/>
    <n v="16.464000000000002"/>
  </r>
  <r>
    <n v="1039"/>
    <x v="18"/>
    <n v="11"/>
    <x v="10"/>
    <s v="123 11th Street"/>
    <x v="9"/>
    <x v="9"/>
    <n v="99999"/>
    <s v="USA"/>
    <x v="5"/>
    <x v="3"/>
    <m/>
    <s v="Shipping Company C"/>
    <s v="Peter Krschne"/>
    <s v="123 11th Street"/>
    <x v="9"/>
    <x v="9"/>
    <n v="99999"/>
    <x v="0"/>
    <x v="3"/>
    <x v="9"/>
    <x v="5"/>
    <n v="40"/>
    <n v="72"/>
    <x v="34"/>
    <n v="285.12"/>
  </r>
  <r>
    <n v="1040"/>
    <x v="19"/>
    <n v="1"/>
    <x v="11"/>
    <s v="123 1st Street"/>
    <x v="10"/>
    <x v="10"/>
    <n v="99999"/>
    <s v="USA"/>
    <x v="2"/>
    <x v="2"/>
    <m/>
    <s v="Shipping Company C"/>
    <s v="Anna Bedecs"/>
    <s v="123 1st Street"/>
    <x v="10"/>
    <x v="10"/>
    <n v="99999"/>
    <x v="0"/>
    <x v="3"/>
    <x v="13"/>
    <x v="8"/>
    <n v="18.399999999999999"/>
    <n v="13"/>
    <x v="35"/>
    <n v="23.680800000000001"/>
  </r>
  <r>
    <n v="1041"/>
    <x v="16"/>
    <n v="28"/>
    <x v="7"/>
    <s v="789 28th Street"/>
    <x v="6"/>
    <x v="6"/>
    <n v="99999"/>
    <s v="USA"/>
    <x v="5"/>
    <x v="3"/>
    <n v="41700"/>
    <s v="Shipping Company C"/>
    <s v="Amritansh Raghav"/>
    <s v="789 28th Street"/>
    <x v="6"/>
    <x v="6"/>
    <n v="99999"/>
    <x v="0"/>
    <x v="1"/>
    <x v="5"/>
    <x v="0"/>
    <n v="46"/>
    <n v="32"/>
    <x v="36"/>
    <n v="148.67200000000003"/>
  </r>
  <r>
    <n v="1042"/>
    <x v="20"/>
    <n v="9"/>
    <x v="12"/>
    <s v="123 9th Street"/>
    <x v="11"/>
    <x v="11"/>
    <n v="99999"/>
    <s v="USA"/>
    <x v="7"/>
    <x v="0"/>
    <d v="2014-02-11T00:00:00"/>
    <s v="Shipping Company A"/>
    <s v="Sven Mortensen"/>
    <s v="123 9th Street"/>
    <x v="11"/>
    <x v="11"/>
    <n v="99999"/>
    <x v="0"/>
    <x v="0"/>
    <x v="8"/>
    <x v="4"/>
    <n v="9.65"/>
    <n v="27"/>
    <x v="37"/>
    <n v="24.752250000000004"/>
  </r>
  <r>
    <n v="1043"/>
    <x v="15"/>
    <n v="6"/>
    <x v="6"/>
    <s v="123 6th Street"/>
    <x v="5"/>
    <x v="5"/>
    <n v="99999"/>
    <s v="USA"/>
    <x v="4"/>
    <x v="2"/>
    <d v="2014-02-08T00:00:00"/>
    <s v="Shipping Company B"/>
    <s v="Francisco Pérez-Olaeta"/>
    <s v="123 6th Street"/>
    <x v="5"/>
    <x v="5"/>
    <n v="99999"/>
    <x v="0"/>
    <x v="1"/>
    <x v="7"/>
    <x v="3"/>
    <n v="12.75"/>
    <n v="71"/>
    <x v="38"/>
    <n v="91.430250000000001"/>
  </r>
  <r>
    <n v="1044"/>
    <x v="13"/>
    <n v="8"/>
    <x v="3"/>
    <s v="123 8th Street"/>
    <x v="2"/>
    <x v="2"/>
    <n v="99999"/>
    <s v="USA"/>
    <x v="2"/>
    <x v="2"/>
    <d v="2014-02-10T00:00:00"/>
    <s v="Shipping Company B"/>
    <s v="Elizabeth Andersen"/>
    <s v="123 8th Street"/>
    <x v="2"/>
    <x v="2"/>
    <n v="99999"/>
    <x v="0"/>
    <x v="0"/>
    <x v="7"/>
    <x v="3"/>
    <n v="12.75"/>
    <n v="13"/>
    <x v="39"/>
    <n v="15.746249999999998"/>
  </r>
  <r>
    <n v="1045"/>
    <x v="21"/>
    <n v="25"/>
    <x v="13"/>
    <s v="789 25th Street"/>
    <x v="7"/>
    <x v="7"/>
    <n v="99999"/>
    <s v="USA"/>
    <x v="6"/>
    <x v="1"/>
    <d v="2014-02-27T00:00:00"/>
    <s v="Shipping Company A"/>
    <s v="John Rodman"/>
    <s v="789 25th Street"/>
    <x v="7"/>
    <x v="7"/>
    <n v="99999"/>
    <x v="0"/>
    <x v="2"/>
    <x v="12"/>
    <x v="7"/>
    <n v="22"/>
    <n v="98"/>
    <x v="40"/>
    <n v="204.82000000000002"/>
  </r>
  <r>
    <n v="1046"/>
    <x v="22"/>
    <n v="26"/>
    <x v="14"/>
    <s v="789 26th Street"/>
    <x v="9"/>
    <x v="9"/>
    <n v="99999"/>
    <s v="USA"/>
    <x v="5"/>
    <x v="3"/>
    <d v="2014-02-28T00:00:00"/>
    <s v="Shipping Company C"/>
    <s v="Run Liu"/>
    <s v="789 26th Street"/>
    <x v="9"/>
    <x v="9"/>
    <n v="99999"/>
    <x v="0"/>
    <x v="1"/>
    <x v="11"/>
    <x v="6"/>
    <n v="25"/>
    <n v="21"/>
    <x v="41"/>
    <n v="53.550000000000004"/>
  </r>
  <r>
    <n v="1047"/>
    <x v="23"/>
    <n v="29"/>
    <x v="4"/>
    <s v="789 29th Street"/>
    <x v="3"/>
    <x v="3"/>
    <n v="99999"/>
    <s v="USA"/>
    <x v="3"/>
    <x v="0"/>
    <d v="2014-03-03T00:00:00"/>
    <s v="Shipping Company B"/>
    <s v="Soo Jung Lee"/>
    <s v="789 29th Street"/>
    <x v="3"/>
    <x v="3"/>
    <n v="99999"/>
    <x v="0"/>
    <x v="0"/>
    <x v="19"/>
    <x v="12"/>
    <n v="39"/>
    <n v="26"/>
    <x v="42"/>
    <n v="106.47000000000001"/>
  </r>
  <r>
    <n v="1048"/>
    <x v="15"/>
    <n v="6"/>
    <x v="6"/>
    <s v="123 6th Street"/>
    <x v="5"/>
    <x v="5"/>
    <n v="99999"/>
    <s v="USA"/>
    <x v="4"/>
    <x v="2"/>
    <d v="2014-02-08T00:00:00"/>
    <s v="Shipping Company C"/>
    <s v="Francisco Pérez-Olaeta"/>
    <s v="123 6th Street"/>
    <x v="5"/>
    <x v="5"/>
    <n v="99999"/>
    <x v="0"/>
    <x v="0"/>
    <x v="2"/>
    <x v="1"/>
    <n v="30"/>
    <n v="96"/>
    <x v="34"/>
    <n v="296.64"/>
  </r>
  <r>
    <n v="1049"/>
    <x v="15"/>
    <n v="6"/>
    <x v="6"/>
    <s v="123 6th Street"/>
    <x v="5"/>
    <x v="5"/>
    <n v="99999"/>
    <s v="USA"/>
    <x v="4"/>
    <x v="2"/>
    <d v="2014-02-08T00:00:00"/>
    <s v="Shipping Company C"/>
    <s v="Francisco Pérez-Olaeta"/>
    <s v="123 6th Street"/>
    <x v="5"/>
    <x v="5"/>
    <n v="99999"/>
    <x v="0"/>
    <x v="0"/>
    <x v="3"/>
    <x v="1"/>
    <n v="53"/>
    <n v="16"/>
    <x v="43"/>
    <n v="88.192000000000021"/>
  </r>
  <r>
    <n v="1050"/>
    <x v="24"/>
    <n v="4"/>
    <x v="1"/>
    <s v="123 4th Street"/>
    <x v="1"/>
    <x v="1"/>
    <n v="99999"/>
    <s v="USA"/>
    <x v="1"/>
    <x v="1"/>
    <m/>
    <m/>
    <s v="Christina Lee"/>
    <s v="123 4th Street"/>
    <x v="1"/>
    <x v="1"/>
    <n v="99999"/>
    <x v="0"/>
    <x v="3"/>
    <x v="20"/>
    <x v="9"/>
    <n v="38"/>
    <n v="96"/>
    <x v="44"/>
    <n v="346.56"/>
  </r>
  <r>
    <n v="1051"/>
    <x v="14"/>
    <n v="3"/>
    <x v="5"/>
    <s v="123 3rd Street"/>
    <x v="4"/>
    <x v="4"/>
    <n v="99999"/>
    <s v="USA"/>
    <x v="0"/>
    <x v="0"/>
    <m/>
    <m/>
    <s v="Thomas Axerr"/>
    <s v="123 3rd Street"/>
    <x v="4"/>
    <x v="4"/>
    <n v="99999"/>
    <x v="0"/>
    <x v="3"/>
    <x v="10"/>
    <x v="0"/>
    <n v="2.99"/>
    <n v="75"/>
    <x v="45"/>
    <n v="23.097750000000005"/>
  </r>
  <r>
    <n v="1052"/>
    <x v="25"/>
    <n v="9"/>
    <x v="12"/>
    <s v="123 9th Street"/>
    <x v="11"/>
    <x v="11"/>
    <n v="99999"/>
    <s v="USA"/>
    <x v="7"/>
    <x v="0"/>
    <n v="41709"/>
    <s v="Shipping Company A"/>
    <s v="Sven Mortensen"/>
    <s v="123 9th Street"/>
    <x v="11"/>
    <x v="11"/>
    <n v="99999"/>
    <x v="0"/>
    <x v="0"/>
    <x v="14"/>
    <x v="9"/>
    <n v="19.5"/>
    <n v="55"/>
    <x v="46"/>
    <n v="108.32250000000001"/>
  </r>
  <r>
    <n v="1053"/>
    <x v="25"/>
    <n v="9"/>
    <x v="12"/>
    <s v="123 9th Street"/>
    <x v="11"/>
    <x v="11"/>
    <n v="99999"/>
    <s v="USA"/>
    <x v="7"/>
    <x v="0"/>
    <d v="2014-03-11T00:00:00"/>
    <s v="Shipping Company A"/>
    <s v="Sven Mortensen"/>
    <s v="123 9th Street"/>
    <x v="11"/>
    <x v="11"/>
    <n v="99999"/>
    <x v="0"/>
    <x v="0"/>
    <x v="15"/>
    <x v="10"/>
    <n v="34.799999999999997"/>
    <n v="11"/>
    <x v="47"/>
    <n v="36.748799999999996"/>
  </r>
  <r>
    <n v="1054"/>
    <x v="26"/>
    <n v="6"/>
    <x v="6"/>
    <s v="123 6th Street"/>
    <x v="5"/>
    <x v="5"/>
    <n v="99999"/>
    <s v="USA"/>
    <x v="4"/>
    <x v="2"/>
    <d v="2014-03-08T00:00:00"/>
    <s v="Shipping Company B"/>
    <s v="Francisco Pérez-Olaeta"/>
    <s v="123 6th Street"/>
    <x v="5"/>
    <x v="5"/>
    <n v="99999"/>
    <x v="0"/>
    <x v="1"/>
    <x v="0"/>
    <x v="0"/>
    <n v="14"/>
    <n v="53"/>
    <x v="48"/>
    <n v="71.974000000000004"/>
  </r>
  <r>
    <n v="1055"/>
    <x v="27"/>
    <n v="8"/>
    <x v="3"/>
    <s v="123 8th Street"/>
    <x v="2"/>
    <x v="2"/>
    <n v="99999"/>
    <s v="USA"/>
    <x v="2"/>
    <x v="2"/>
    <d v="2014-03-10T00:00:00"/>
    <s v="Shipping Company B"/>
    <s v="Elizabeth Andersen"/>
    <s v="123 8th Street"/>
    <x v="2"/>
    <x v="2"/>
    <n v="99999"/>
    <x v="0"/>
    <x v="0"/>
    <x v="9"/>
    <x v="5"/>
    <n v="40"/>
    <n v="85"/>
    <x v="49"/>
    <n v="357"/>
  </r>
  <r>
    <n v="1056"/>
    <x v="27"/>
    <n v="8"/>
    <x v="3"/>
    <s v="123 8th Street"/>
    <x v="2"/>
    <x v="2"/>
    <n v="99999"/>
    <s v="USA"/>
    <x v="2"/>
    <x v="2"/>
    <d v="2014-03-10T00:00:00"/>
    <s v="Shipping Company B"/>
    <s v="Elizabeth Andersen"/>
    <s v="123 8th Street"/>
    <x v="2"/>
    <x v="2"/>
    <n v="99999"/>
    <x v="0"/>
    <x v="0"/>
    <x v="6"/>
    <x v="2"/>
    <n v="9.1999999999999993"/>
    <n v="97"/>
    <x v="50"/>
    <n v="91.024800000000013"/>
  </r>
  <r>
    <n v="1057"/>
    <x v="28"/>
    <n v="25"/>
    <x v="13"/>
    <s v="789 25th Street"/>
    <x v="7"/>
    <x v="7"/>
    <n v="99999"/>
    <s v="USA"/>
    <x v="6"/>
    <x v="1"/>
    <d v="2014-03-27T00:00:00"/>
    <s v="Shipping Company A"/>
    <s v="John Rodman"/>
    <s v="789 25th Street"/>
    <x v="7"/>
    <x v="7"/>
    <n v="99999"/>
    <x v="0"/>
    <x v="2"/>
    <x v="21"/>
    <x v="2"/>
    <n v="10"/>
    <n v="46"/>
    <x v="51"/>
    <n v="46.46"/>
  </r>
  <r>
    <n v="1058"/>
    <x v="29"/>
    <n v="26"/>
    <x v="14"/>
    <s v="789 26th Street"/>
    <x v="9"/>
    <x v="9"/>
    <n v="99999"/>
    <s v="USA"/>
    <x v="5"/>
    <x v="3"/>
    <d v="2014-03-28T00:00:00"/>
    <s v="Shipping Company C"/>
    <s v="Run Liu"/>
    <s v="789 26th Street"/>
    <x v="9"/>
    <x v="9"/>
    <n v="99999"/>
    <x v="0"/>
    <x v="1"/>
    <x v="22"/>
    <x v="13"/>
    <n v="21.35"/>
    <n v="97"/>
    <x v="52"/>
    <n v="196.74025"/>
  </r>
  <r>
    <n v="1059"/>
    <x v="29"/>
    <n v="26"/>
    <x v="14"/>
    <s v="789 26th Street"/>
    <x v="9"/>
    <x v="9"/>
    <n v="99999"/>
    <s v="USA"/>
    <x v="5"/>
    <x v="3"/>
    <d v="2014-03-28T00:00:00"/>
    <s v="Shipping Company C"/>
    <s v="Run Liu"/>
    <s v="789 26th Street"/>
    <x v="9"/>
    <x v="9"/>
    <n v="99999"/>
    <x v="0"/>
    <x v="1"/>
    <x v="8"/>
    <x v="4"/>
    <n v="9.65"/>
    <n v="97"/>
    <x v="53"/>
    <n v="95.477100000000021"/>
  </r>
  <r>
    <n v="1060"/>
    <x v="29"/>
    <n v="26"/>
    <x v="14"/>
    <s v="789 26th Street"/>
    <x v="9"/>
    <x v="9"/>
    <n v="99999"/>
    <s v="USA"/>
    <x v="5"/>
    <x v="3"/>
    <d v="2014-03-28T00:00:00"/>
    <s v="Shipping Company C"/>
    <s v="Run Liu"/>
    <s v="789 26th Street"/>
    <x v="9"/>
    <x v="9"/>
    <n v="99999"/>
    <x v="0"/>
    <x v="1"/>
    <x v="13"/>
    <x v="8"/>
    <n v="18.399999999999999"/>
    <n v="65"/>
    <x v="54"/>
    <n v="123.18800000000002"/>
  </r>
  <r>
    <n v="1061"/>
    <x v="30"/>
    <n v="29"/>
    <x v="4"/>
    <s v="789 29th Street"/>
    <x v="3"/>
    <x v="3"/>
    <n v="99999"/>
    <s v="USA"/>
    <x v="3"/>
    <x v="0"/>
    <d v="2014-03-31T00:00:00"/>
    <s v="Shipping Company B"/>
    <s v="Soo Jung Lee"/>
    <s v="789 29th Street"/>
    <x v="3"/>
    <x v="3"/>
    <n v="99999"/>
    <x v="0"/>
    <x v="0"/>
    <x v="0"/>
    <x v="0"/>
    <n v="14"/>
    <n v="72"/>
    <x v="55"/>
    <n v="100.80000000000001"/>
  </r>
  <r>
    <n v="1062"/>
    <x v="26"/>
    <n v="6"/>
    <x v="6"/>
    <s v="123 6th Street"/>
    <x v="5"/>
    <x v="5"/>
    <n v="99999"/>
    <s v="USA"/>
    <x v="4"/>
    <x v="2"/>
    <d v="2014-03-08T00:00:00"/>
    <s v="Shipping Company C"/>
    <s v="Francisco Pérez-Olaeta"/>
    <s v="123 6th Street"/>
    <x v="5"/>
    <x v="5"/>
    <n v="99999"/>
    <x v="0"/>
    <x v="0"/>
    <x v="7"/>
    <x v="3"/>
    <n v="12.75"/>
    <n v="16"/>
    <x v="56"/>
    <n v="20.196000000000002"/>
  </r>
  <r>
    <n v="1064"/>
    <x v="31"/>
    <n v="4"/>
    <x v="1"/>
    <s v="123 4th Street"/>
    <x v="1"/>
    <x v="1"/>
    <n v="99999"/>
    <s v="USA"/>
    <x v="1"/>
    <x v="1"/>
    <d v="2014-03-06T00:00:00"/>
    <s v="Shipping Company A"/>
    <s v="Christina Lee"/>
    <s v="123 4th Street"/>
    <x v="1"/>
    <x v="1"/>
    <n v="99999"/>
    <x v="0"/>
    <x v="1"/>
    <x v="23"/>
    <x v="6"/>
    <n v="81"/>
    <n v="77"/>
    <x v="57"/>
    <n v="642.41100000000006"/>
  </r>
  <r>
    <n v="1065"/>
    <x v="31"/>
    <n v="4"/>
    <x v="1"/>
    <s v="123 4th Street"/>
    <x v="1"/>
    <x v="1"/>
    <n v="99999"/>
    <s v="USA"/>
    <x v="1"/>
    <x v="1"/>
    <d v="2014-03-06T00:00:00"/>
    <s v="Shipping Company A"/>
    <s v="Christina Lee"/>
    <s v="123 4th Street"/>
    <x v="1"/>
    <x v="1"/>
    <n v="99999"/>
    <x v="0"/>
    <x v="1"/>
    <x v="24"/>
    <x v="14"/>
    <n v="7"/>
    <n v="37"/>
    <x v="58"/>
    <n v="24.605"/>
  </r>
  <r>
    <n v="1067"/>
    <x v="27"/>
    <n v="8"/>
    <x v="3"/>
    <s v="123 8th Street"/>
    <x v="2"/>
    <x v="2"/>
    <n v="99999"/>
    <s v="USA"/>
    <x v="2"/>
    <x v="2"/>
    <d v="2014-03-10T00:00:00"/>
    <s v="Shipping Company C"/>
    <s v="Elizabeth Andersen"/>
    <s v="123 8th Street"/>
    <x v="2"/>
    <x v="2"/>
    <n v="99999"/>
    <x v="0"/>
    <x v="1"/>
    <x v="15"/>
    <x v="10"/>
    <n v="34.799999999999997"/>
    <n v="63"/>
    <x v="59"/>
    <n v="217.04759999999999"/>
  </r>
  <r>
    <n v="1070"/>
    <x v="32"/>
    <n v="3"/>
    <x v="5"/>
    <s v="123 3rd Street"/>
    <x v="4"/>
    <x v="4"/>
    <n v="99999"/>
    <s v="USA"/>
    <x v="0"/>
    <x v="0"/>
    <d v="2014-03-05T00:00:00"/>
    <s v="Shipping Company B"/>
    <s v="Thomas Axerr"/>
    <s v="123 3rd Street"/>
    <x v="4"/>
    <x v="4"/>
    <n v="99999"/>
    <x v="0"/>
    <x v="2"/>
    <x v="16"/>
    <x v="7"/>
    <n v="10"/>
    <n v="48"/>
    <x v="60"/>
    <n v="48"/>
  </r>
  <r>
    <n v="1071"/>
    <x v="32"/>
    <n v="3"/>
    <x v="5"/>
    <s v="123 3rd Street"/>
    <x v="4"/>
    <x v="4"/>
    <n v="99999"/>
    <s v="USA"/>
    <x v="0"/>
    <x v="0"/>
    <d v="2014-03-05T00:00:00"/>
    <s v="Shipping Company B"/>
    <s v="Thomas Axerr"/>
    <s v="123 3rd Street"/>
    <x v="4"/>
    <x v="4"/>
    <n v="99999"/>
    <x v="0"/>
    <x v="2"/>
    <x v="9"/>
    <x v="5"/>
    <n v="40"/>
    <n v="71"/>
    <x v="61"/>
    <n v="295.36"/>
  </r>
  <r>
    <n v="1075"/>
    <x v="33"/>
    <n v="10"/>
    <x v="8"/>
    <s v="123 10th Street"/>
    <x v="7"/>
    <x v="7"/>
    <n v="99999"/>
    <s v="USA"/>
    <x v="6"/>
    <x v="1"/>
    <d v="2014-03-12T00:00:00"/>
    <s v="Shipping Company B"/>
    <s v="Roland Wacker"/>
    <s v="123 10th Street"/>
    <x v="7"/>
    <x v="7"/>
    <n v="99999"/>
    <x v="0"/>
    <x v="1"/>
    <x v="18"/>
    <x v="1"/>
    <n v="10"/>
    <n v="55"/>
    <x v="62"/>
    <n v="55"/>
  </r>
  <r>
    <n v="1077"/>
    <x v="33"/>
    <n v="10"/>
    <x v="8"/>
    <s v="123 10th Street"/>
    <x v="7"/>
    <x v="7"/>
    <n v="99999"/>
    <s v="USA"/>
    <x v="6"/>
    <x v="1"/>
    <m/>
    <s v="Shipping Company A"/>
    <s v="Roland Wacker"/>
    <s v="123 10th Street"/>
    <x v="7"/>
    <x v="7"/>
    <n v="99999"/>
    <x v="0"/>
    <x v="3"/>
    <x v="1"/>
    <x v="1"/>
    <n v="3.5"/>
    <n v="21"/>
    <x v="63"/>
    <n v="7.3500000000000005"/>
  </r>
  <r>
    <n v="1078"/>
    <x v="34"/>
    <n v="11"/>
    <x v="10"/>
    <s v="123 11th Street"/>
    <x v="9"/>
    <x v="9"/>
    <n v="99999"/>
    <s v="USA"/>
    <x v="5"/>
    <x v="3"/>
    <m/>
    <s v="Shipping Company C"/>
    <s v="Peter Krschne"/>
    <s v="123 11th Street"/>
    <x v="9"/>
    <x v="9"/>
    <n v="99999"/>
    <x v="0"/>
    <x v="3"/>
    <x v="9"/>
    <x v="5"/>
    <n v="40"/>
    <n v="67"/>
    <x v="64"/>
    <n v="270.68"/>
  </r>
  <r>
    <n v="1079"/>
    <x v="23"/>
    <n v="1"/>
    <x v="11"/>
    <s v="123 1st Street"/>
    <x v="10"/>
    <x v="10"/>
    <n v="99999"/>
    <s v="USA"/>
    <x v="2"/>
    <x v="2"/>
    <m/>
    <s v="Shipping Company C"/>
    <s v="Anna Bedecs"/>
    <s v="123 1st Street"/>
    <x v="10"/>
    <x v="10"/>
    <n v="99999"/>
    <x v="0"/>
    <x v="3"/>
    <x v="13"/>
    <x v="8"/>
    <n v="18.399999999999999"/>
    <n v="75"/>
    <x v="65"/>
    <n v="138"/>
  </r>
  <r>
    <n v="1080"/>
    <x v="35"/>
    <n v="28"/>
    <x v="7"/>
    <s v="789 28th Street"/>
    <x v="6"/>
    <x v="6"/>
    <n v="99999"/>
    <s v="USA"/>
    <x v="5"/>
    <x v="3"/>
    <d v="2014-03-30T00:00:00"/>
    <s v="Shipping Company C"/>
    <s v="Amritansh Raghav"/>
    <s v="789 28th Street"/>
    <x v="6"/>
    <x v="6"/>
    <n v="99999"/>
    <x v="0"/>
    <x v="1"/>
    <x v="5"/>
    <x v="0"/>
    <n v="46"/>
    <n v="17"/>
    <x v="66"/>
    <n v="80.546000000000006"/>
  </r>
  <r>
    <n v="1081"/>
    <x v="36"/>
    <n v="4"/>
    <x v="1"/>
    <s v="123 4th Street"/>
    <x v="1"/>
    <x v="1"/>
    <n v="99999"/>
    <s v="USA"/>
    <x v="1"/>
    <x v="1"/>
    <d v="2014-04-06T00:00:00"/>
    <s v="Shipping Company A"/>
    <s v="Christina Lee"/>
    <s v="123 4th Street"/>
    <x v="1"/>
    <x v="1"/>
    <n v="99999"/>
    <x v="0"/>
    <x v="1"/>
    <x v="1"/>
    <x v="1"/>
    <n v="3.5"/>
    <n v="48"/>
    <x v="67"/>
    <n v="16.295999999999999"/>
  </r>
  <r>
    <n v="1082"/>
    <x v="37"/>
    <n v="12"/>
    <x v="2"/>
    <s v="123 12th Street"/>
    <x v="0"/>
    <x v="0"/>
    <n v="99999"/>
    <s v="USA"/>
    <x v="0"/>
    <x v="0"/>
    <d v="2014-04-14T00:00:00"/>
    <s v="Shipping Company B"/>
    <s v="John Edwards"/>
    <s v="123 12th Street"/>
    <x v="0"/>
    <x v="0"/>
    <n v="99999"/>
    <x v="0"/>
    <x v="1"/>
    <x v="4"/>
    <x v="0"/>
    <n v="18"/>
    <n v="74"/>
    <x v="68"/>
    <n v="137.19600000000003"/>
  </r>
  <r>
    <n v="1083"/>
    <x v="37"/>
    <n v="12"/>
    <x v="2"/>
    <s v="123 12th Street"/>
    <x v="0"/>
    <x v="0"/>
    <n v="99999"/>
    <s v="USA"/>
    <x v="0"/>
    <x v="0"/>
    <d v="2014-04-14T00:00:00"/>
    <s v="Shipping Company B"/>
    <s v="John Edwards"/>
    <s v="123 12th Street"/>
    <x v="0"/>
    <x v="0"/>
    <n v="99999"/>
    <x v="0"/>
    <x v="1"/>
    <x v="5"/>
    <x v="0"/>
    <n v="46"/>
    <n v="96"/>
    <x v="69"/>
    <n v="428.35200000000003"/>
  </r>
  <r>
    <n v="1084"/>
    <x v="38"/>
    <n v="8"/>
    <x v="3"/>
    <s v="123 8th Street"/>
    <x v="2"/>
    <x v="2"/>
    <n v="99999"/>
    <s v="USA"/>
    <x v="2"/>
    <x v="2"/>
    <d v="2014-04-10T00:00:00"/>
    <s v="Shipping Company C"/>
    <s v="Elizabeth Andersen"/>
    <s v="123 8th Street"/>
    <x v="2"/>
    <x v="2"/>
    <n v="99999"/>
    <x v="0"/>
    <x v="1"/>
    <x v="6"/>
    <x v="2"/>
    <n v="9.1999999999999993"/>
    <n v="12"/>
    <x v="70"/>
    <n v="11.3712"/>
  </r>
  <r>
    <n v="1085"/>
    <x v="36"/>
    <n v="4"/>
    <x v="1"/>
    <s v="123 4th Street"/>
    <x v="1"/>
    <x v="1"/>
    <n v="99999"/>
    <s v="USA"/>
    <x v="1"/>
    <x v="1"/>
    <n v="41735"/>
    <s v="Shipping Company C"/>
    <s v="Christina Lee"/>
    <s v="123 4th Street"/>
    <x v="1"/>
    <x v="1"/>
    <n v="99999"/>
    <x v="0"/>
    <x v="0"/>
    <x v="6"/>
    <x v="2"/>
    <n v="9.1999999999999993"/>
    <n v="62"/>
    <x v="71"/>
    <n v="58.751199999999997"/>
  </r>
  <r>
    <n v="1086"/>
    <x v="39"/>
    <n v="29"/>
    <x v="4"/>
    <s v="789 29th Street"/>
    <x v="3"/>
    <x v="3"/>
    <n v="99999"/>
    <s v="USA"/>
    <x v="3"/>
    <x v="0"/>
    <n v="41760"/>
    <s v="Shipping Company B"/>
    <s v="Soo Jung Lee"/>
    <s v="789 29th Street"/>
    <x v="3"/>
    <x v="3"/>
    <n v="99999"/>
    <x v="0"/>
    <x v="0"/>
    <x v="7"/>
    <x v="3"/>
    <n v="12.75"/>
    <n v="35"/>
    <x v="72"/>
    <n v="45.963750000000005"/>
  </r>
  <r>
    <n v="1087"/>
    <x v="40"/>
    <n v="3"/>
    <x v="5"/>
    <s v="123 3rd Street"/>
    <x v="4"/>
    <x v="4"/>
    <n v="99999"/>
    <s v="USA"/>
    <x v="0"/>
    <x v="0"/>
    <n v="41734"/>
    <s v="Shipping Company B"/>
    <s v="Thomas Axerr"/>
    <s v="123 3rd Street"/>
    <x v="4"/>
    <x v="4"/>
    <n v="99999"/>
    <x v="0"/>
    <x v="2"/>
    <x v="8"/>
    <x v="4"/>
    <n v="9.65"/>
    <n v="95"/>
    <x v="73"/>
    <n v="91.675000000000011"/>
  </r>
  <r>
    <n v="1088"/>
    <x v="41"/>
    <n v="6"/>
    <x v="6"/>
    <s v="123 6th Street"/>
    <x v="5"/>
    <x v="5"/>
    <n v="99999"/>
    <s v="USA"/>
    <x v="4"/>
    <x v="2"/>
    <n v="41737"/>
    <s v="Shipping Company B"/>
    <s v="Francisco Pérez-Olaeta"/>
    <s v="123 6th Street"/>
    <x v="5"/>
    <x v="5"/>
    <n v="99999"/>
    <x v="0"/>
    <x v="1"/>
    <x v="9"/>
    <x v="5"/>
    <n v="40"/>
    <n v="17"/>
    <x v="74"/>
    <n v="68.680000000000007"/>
  </r>
  <r>
    <n v="1089"/>
    <x v="42"/>
    <n v="28"/>
    <x v="7"/>
    <s v="789 28th Street"/>
    <x v="6"/>
    <x v="6"/>
    <n v="99999"/>
    <s v="USA"/>
    <x v="5"/>
    <x v="3"/>
    <d v="2014-04-30T00:00:00"/>
    <s v="Shipping Company C"/>
    <s v="Amritansh Raghav"/>
    <s v="789 28th Street"/>
    <x v="6"/>
    <x v="6"/>
    <n v="99999"/>
    <x v="0"/>
    <x v="0"/>
    <x v="5"/>
    <x v="0"/>
    <n v="46"/>
    <n v="96"/>
    <x v="69"/>
    <n v="463.68000000000006"/>
  </r>
  <r>
    <n v="1090"/>
    <x v="38"/>
    <n v="8"/>
    <x v="3"/>
    <s v="123 8th Street"/>
    <x v="2"/>
    <x v="2"/>
    <n v="99999"/>
    <s v="USA"/>
    <x v="2"/>
    <x v="2"/>
    <d v="2014-04-10T00:00:00"/>
    <s v="Shipping Company C"/>
    <s v="Elizabeth Andersen"/>
    <s v="123 8th Street"/>
    <x v="2"/>
    <x v="2"/>
    <n v="99999"/>
    <x v="0"/>
    <x v="0"/>
    <x v="7"/>
    <x v="3"/>
    <n v="12.75"/>
    <n v="83"/>
    <x v="75"/>
    <n v="102.65025"/>
  </r>
  <r>
    <n v="1091"/>
    <x v="43"/>
    <n v="10"/>
    <x v="8"/>
    <s v="123 10th Street"/>
    <x v="7"/>
    <x v="7"/>
    <n v="99999"/>
    <s v="USA"/>
    <x v="6"/>
    <x v="1"/>
    <d v="2014-04-12T00:00:00"/>
    <s v="Shipping Company B"/>
    <s v="Roland Wacker"/>
    <s v="123 10th Street"/>
    <x v="7"/>
    <x v="7"/>
    <n v="99999"/>
    <x v="0"/>
    <x v="1"/>
    <x v="10"/>
    <x v="0"/>
    <n v="2.99"/>
    <n v="88"/>
    <x v="76"/>
    <n v="26.04888"/>
  </r>
  <r>
    <n v="1092"/>
    <x v="44"/>
    <n v="7"/>
    <x v="9"/>
    <s v="123 7th Street"/>
    <x v="8"/>
    <x v="8"/>
    <n v="99999"/>
    <s v="USA"/>
    <x v="2"/>
    <x v="2"/>
    <m/>
    <m/>
    <s v="Ming-Yang Xie"/>
    <s v="123 7th Street"/>
    <x v="8"/>
    <x v="8"/>
    <n v="99999"/>
    <x v="0"/>
    <x v="3"/>
    <x v="5"/>
    <x v="0"/>
    <n v="46"/>
    <n v="59"/>
    <x v="77"/>
    <n v="284.97000000000003"/>
  </r>
  <r>
    <n v="1093"/>
    <x v="43"/>
    <n v="10"/>
    <x v="8"/>
    <s v="123 10th Street"/>
    <x v="7"/>
    <x v="7"/>
    <n v="99999"/>
    <s v="USA"/>
    <x v="6"/>
    <x v="1"/>
    <d v="2014-04-12T00:00:00"/>
    <s v="Shipping Company A"/>
    <s v="Roland Wacker"/>
    <s v="123 10th Street"/>
    <x v="7"/>
    <x v="7"/>
    <n v="99999"/>
    <x v="0"/>
    <x v="3"/>
    <x v="11"/>
    <x v="6"/>
    <n v="25"/>
    <n v="27"/>
    <x v="78"/>
    <n v="68.849999999999994"/>
  </r>
  <r>
    <n v="1094"/>
    <x v="43"/>
    <n v="10"/>
    <x v="8"/>
    <s v="123 10th Street"/>
    <x v="7"/>
    <x v="7"/>
    <n v="99999"/>
    <s v="USA"/>
    <x v="6"/>
    <x v="1"/>
    <d v="2014-04-12T00:00:00"/>
    <s v="Shipping Company A"/>
    <s v="Roland Wacker"/>
    <s v="123 10th Street"/>
    <x v="7"/>
    <x v="7"/>
    <n v="99999"/>
    <x v="0"/>
    <x v="3"/>
    <x v="12"/>
    <x v="7"/>
    <n v="22"/>
    <n v="37"/>
    <x v="79"/>
    <n v="85.470000000000013"/>
  </r>
  <r>
    <n v="1095"/>
    <x v="43"/>
    <n v="10"/>
    <x v="8"/>
    <s v="123 10th Street"/>
    <x v="7"/>
    <x v="7"/>
    <n v="99999"/>
    <s v="USA"/>
    <x v="6"/>
    <x v="1"/>
    <d v="2014-04-12T00:00:00"/>
    <s v="Shipping Company A"/>
    <s v="Roland Wacker"/>
    <s v="123 10th Street"/>
    <x v="7"/>
    <x v="7"/>
    <n v="99999"/>
    <x v="0"/>
    <x v="3"/>
    <x v="6"/>
    <x v="2"/>
    <n v="9.1999999999999993"/>
    <n v="75"/>
    <x v="80"/>
    <n v="69"/>
  </r>
  <r>
    <n v="1096"/>
    <x v="45"/>
    <n v="11"/>
    <x v="10"/>
    <s v="123 11th Street"/>
    <x v="9"/>
    <x v="9"/>
    <n v="99999"/>
    <s v="USA"/>
    <x v="5"/>
    <x v="3"/>
    <m/>
    <s v="Shipping Company C"/>
    <s v="Peter Krschne"/>
    <s v="123 11th Street"/>
    <x v="9"/>
    <x v="9"/>
    <n v="99999"/>
    <x v="0"/>
    <x v="3"/>
    <x v="1"/>
    <x v="1"/>
    <n v="3.5"/>
    <n v="71"/>
    <x v="81"/>
    <n v="24.104500000000002"/>
  </r>
  <r>
    <n v="1097"/>
    <x v="45"/>
    <n v="11"/>
    <x v="10"/>
    <s v="123 11th Street"/>
    <x v="9"/>
    <x v="9"/>
    <n v="99999"/>
    <s v="USA"/>
    <x v="5"/>
    <x v="3"/>
    <m/>
    <s v="Shipping Company C"/>
    <s v="Peter Krschne"/>
    <s v="123 11th Street"/>
    <x v="9"/>
    <x v="9"/>
    <n v="99999"/>
    <x v="0"/>
    <x v="3"/>
    <x v="10"/>
    <x v="0"/>
    <n v="2.99"/>
    <n v="88"/>
    <x v="76"/>
    <n v="26.04888"/>
  </r>
  <r>
    <n v="1098"/>
    <x v="46"/>
    <n v="1"/>
    <x v="11"/>
    <s v="123 1st Street"/>
    <x v="10"/>
    <x v="10"/>
    <n v="99999"/>
    <s v="USA"/>
    <x v="2"/>
    <x v="2"/>
    <m/>
    <m/>
    <s v="Anna Bedecs"/>
    <s v="123 1st Street"/>
    <x v="10"/>
    <x v="10"/>
    <n v="99999"/>
    <x v="0"/>
    <x v="3"/>
    <x v="4"/>
    <x v="0"/>
    <n v="18"/>
    <n v="55"/>
    <x v="82"/>
    <n v="97.02"/>
  </r>
  <r>
    <n v="1099"/>
    <x v="47"/>
    <n v="29"/>
    <x v="4"/>
    <s v="789 29th Street"/>
    <x v="3"/>
    <x v="3"/>
    <n v="99999"/>
    <s v="USA"/>
    <x v="3"/>
    <x v="0"/>
    <d v="2014-05-31T00:00:00"/>
    <s v="Shipping Company B"/>
    <s v="Soo Jung Lee"/>
    <s v="789 29th Street"/>
    <x v="3"/>
    <x v="3"/>
    <n v="99999"/>
    <x v="0"/>
    <x v="0"/>
    <x v="7"/>
    <x v="3"/>
    <n v="12.75"/>
    <n v="14"/>
    <x v="83"/>
    <n v="16.9575"/>
  </r>
  <r>
    <n v="1100"/>
    <x v="48"/>
    <n v="3"/>
    <x v="5"/>
    <s v="123 3rd Street"/>
    <x v="4"/>
    <x v="4"/>
    <n v="99999"/>
    <s v="USA"/>
    <x v="0"/>
    <x v="0"/>
    <d v="2014-05-05T00:00:00"/>
    <s v="Shipping Company B"/>
    <s v="Thomas Axerr"/>
    <s v="123 3rd Street"/>
    <x v="4"/>
    <x v="4"/>
    <n v="99999"/>
    <x v="0"/>
    <x v="2"/>
    <x v="8"/>
    <x v="4"/>
    <n v="9.65"/>
    <n v="43"/>
    <x v="84"/>
    <n v="42.324900000000007"/>
  </r>
  <r>
    <n v="1101"/>
    <x v="49"/>
    <n v="6"/>
    <x v="6"/>
    <s v="123 6th Street"/>
    <x v="5"/>
    <x v="5"/>
    <n v="99999"/>
    <s v="USA"/>
    <x v="4"/>
    <x v="2"/>
    <n v="41767"/>
    <s v="Shipping Company B"/>
    <s v="Francisco Pérez-Olaeta"/>
    <s v="123 6th Street"/>
    <x v="5"/>
    <x v="5"/>
    <n v="99999"/>
    <x v="0"/>
    <x v="1"/>
    <x v="9"/>
    <x v="5"/>
    <n v="40"/>
    <n v="63"/>
    <x v="85"/>
    <n v="254.52"/>
  </r>
  <r>
    <n v="1102"/>
    <x v="50"/>
    <n v="28"/>
    <x v="7"/>
    <s v="789 28th Street"/>
    <x v="6"/>
    <x v="6"/>
    <n v="99999"/>
    <s v="USA"/>
    <x v="5"/>
    <x v="3"/>
    <d v="2014-05-30T00:00:00"/>
    <s v="Shipping Company C"/>
    <s v="Amritansh Raghav"/>
    <s v="789 28th Street"/>
    <x v="6"/>
    <x v="6"/>
    <n v="99999"/>
    <x v="0"/>
    <x v="0"/>
    <x v="5"/>
    <x v="0"/>
    <n v="46"/>
    <n v="36"/>
    <x v="86"/>
    <n v="165.60000000000002"/>
  </r>
  <r>
    <n v="1103"/>
    <x v="51"/>
    <n v="8"/>
    <x v="3"/>
    <s v="123 8th Street"/>
    <x v="2"/>
    <x v="2"/>
    <n v="99999"/>
    <s v="USA"/>
    <x v="2"/>
    <x v="2"/>
    <d v="2014-05-10T00:00:00"/>
    <s v="Shipping Company C"/>
    <s v="Elizabeth Andersen"/>
    <s v="123 8th Street"/>
    <x v="2"/>
    <x v="2"/>
    <n v="99999"/>
    <x v="0"/>
    <x v="0"/>
    <x v="7"/>
    <x v="3"/>
    <n v="12.75"/>
    <n v="41"/>
    <x v="87"/>
    <n v="54.366000000000007"/>
  </r>
  <r>
    <n v="1104"/>
    <x v="52"/>
    <n v="10"/>
    <x v="8"/>
    <s v="123 10th Street"/>
    <x v="7"/>
    <x v="7"/>
    <n v="99999"/>
    <s v="USA"/>
    <x v="6"/>
    <x v="1"/>
    <d v="2014-05-12T00:00:00"/>
    <s v="Shipping Company B"/>
    <s v="Roland Wacker"/>
    <s v="123 10th Street"/>
    <x v="7"/>
    <x v="7"/>
    <n v="99999"/>
    <x v="0"/>
    <x v="1"/>
    <x v="10"/>
    <x v="0"/>
    <n v="2.99"/>
    <n v="35"/>
    <x v="88"/>
    <n v="10.255700000000001"/>
  </r>
  <r>
    <n v="1105"/>
    <x v="53"/>
    <n v="7"/>
    <x v="9"/>
    <s v="123 7th Street"/>
    <x v="8"/>
    <x v="8"/>
    <n v="99999"/>
    <s v="USA"/>
    <x v="2"/>
    <x v="2"/>
    <m/>
    <m/>
    <s v="Ming-Yang Xie"/>
    <s v="123 7th Street"/>
    <x v="8"/>
    <x v="8"/>
    <n v="99999"/>
    <x v="0"/>
    <x v="3"/>
    <x v="5"/>
    <x v="0"/>
    <n v="46"/>
    <n v="31"/>
    <x v="89"/>
    <n v="136.89599999999999"/>
  </r>
  <r>
    <n v="1106"/>
    <x v="52"/>
    <n v="10"/>
    <x v="8"/>
    <s v="123 10th Street"/>
    <x v="7"/>
    <x v="7"/>
    <n v="99999"/>
    <s v="USA"/>
    <x v="6"/>
    <x v="1"/>
    <n v="41771"/>
    <s v="Shipping Company A"/>
    <s v="Roland Wacker"/>
    <s v="123 10th Street"/>
    <x v="7"/>
    <x v="7"/>
    <n v="99999"/>
    <x v="0"/>
    <x v="3"/>
    <x v="11"/>
    <x v="6"/>
    <n v="25"/>
    <n v="52"/>
    <x v="90"/>
    <n v="123.5"/>
  </r>
  <r>
    <n v="1107"/>
    <x v="52"/>
    <n v="10"/>
    <x v="8"/>
    <s v="123 10th Street"/>
    <x v="7"/>
    <x v="7"/>
    <n v="99999"/>
    <s v="USA"/>
    <x v="6"/>
    <x v="1"/>
    <n v="41771"/>
    <s v="Shipping Company A"/>
    <s v="Roland Wacker"/>
    <s v="123 10th Street"/>
    <x v="7"/>
    <x v="7"/>
    <n v="99999"/>
    <x v="0"/>
    <x v="3"/>
    <x v="12"/>
    <x v="7"/>
    <n v="22"/>
    <n v="30"/>
    <x v="91"/>
    <n v="67.320000000000007"/>
  </r>
  <r>
    <n v="1108"/>
    <x v="52"/>
    <n v="10"/>
    <x v="8"/>
    <s v="123 10th Street"/>
    <x v="7"/>
    <x v="7"/>
    <n v="99999"/>
    <s v="USA"/>
    <x v="6"/>
    <x v="1"/>
    <d v="2014-05-12T00:00:00"/>
    <s v="Shipping Company A"/>
    <s v="Roland Wacker"/>
    <s v="123 10th Street"/>
    <x v="7"/>
    <x v="7"/>
    <n v="99999"/>
    <x v="0"/>
    <x v="3"/>
    <x v="6"/>
    <x v="2"/>
    <n v="9.1999999999999993"/>
    <n v="41"/>
    <x v="92"/>
    <n v="38.474400000000003"/>
  </r>
  <r>
    <n v="1109"/>
    <x v="54"/>
    <n v="11"/>
    <x v="10"/>
    <s v="123 11th Street"/>
    <x v="9"/>
    <x v="9"/>
    <n v="99999"/>
    <s v="USA"/>
    <x v="5"/>
    <x v="3"/>
    <m/>
    <s v="Shipping Company C"/>
    <s v="Peter Krschne"/>
    <s v="123 11th Street"/>
    <x v="9"/>
    <x v="9"/>
    <n v="99999"/>
    <x v="0"/>
    <x v="3"/>
    <x v="1"/>
    <x v="1"/>
    <n v="3.5"/>
    <n v="44"/>
    <x v="93"/>
    <n v="15.246"/>
  </r>
  <r>
    <n v="1110"/>
    <x v="54"/>
    <n v="11"/>
    <x v="10"/>
    <s v="123 11th Street"/>
    <x v="9"/>
    <x v="9"/>
    <n v="99999"/>
    <s v="USA"/>
    <x v="5"/>
    <x v="3"/>
    <m/>
    <s v="Shipping Company C"/>
    <s v="Peter Krschne"/>
    <s v="123 11th Street"/>
    <x v="9"/>
    <x v="9"/>
    <n v="99999"/>
    <x v="0"/>
    <x v="3"/>
    <x v="10"/>
    <x v="0"/>
    <n v="2.99"/>
    <n v="77"/>
    <x v="94"/>
    <n v="23.023000000000003"/>
  </r>
  <r>
    <n v="1111"/>
    <x v="55"/>
    <n v="1"/>
    <x v="11"/>
    <s v="123 1st Street"/>
    <x v="10"/>
    <x v="10"/>
    <n v="99999"/>
    <s v="USA"/>
    <x v="2"/>
    <x v="2"/>
    <m/>
    <m/>
    <s v="Anna Bedecs"/>
    <s v="123 1st Street"/>
    <x v="10"/>
    <x v="10"/>
    <n v="99999"/>
    <x v="0"/>
    <x v="3"/>
    <x v="4"/>
    <x v="0"/>
    <n v="18"/>
    <n v="29"/>
    <x v="95"/>
    <n v="52.722000000000001"/>
  </r>
  <r>
    <n v="1112"/>
    <x v="55"/>
    <n v="1"/>
    <x v="11"/>
    <s v="123 1st Street"/>
    <x v="10"/>
    <x v="10"/>
    <n v="99999"/>
    <s v="USA"/>
    <x v="2"/>
    <x v="2"/>
    <m/>
    <m/>
    <s v="Anna Bedecs"/>
    <s v="123 1st Street"/>
    <x v="10"/>
    <x v="10"/>
    <n v="99999"/>
    <x v="0"/>
    <x v="3"/>
    <x v="5"/>
    <x v="0"/>
    <n v="46"/>
    <n v="77"/>
    <x v="96"/>
    <n v="368.36800000000005"/>
  </r>
  <r>
    <n v="1113"/>
    <x v="55"/>
    <n v="1"/>
    <x v="11"/>
    <s v="123 1st Street"/>
    <x v="10"/>
    <x v="10"/>
    <n v="99999"/>
    <s v="USA"/>
    <x v="2"/>
    <x v="2"/>
    <m/>
    <m/>
    <s v="Anna Bedecs"/>
    <s v="123 1st Street"/>
    <x v="10"/>
    <x v="10"/>
    <n v="99999"/>
    <x v="0"/>
    <x v="3"/>
    <x v="10"/>
    <x v="0"/>
    <n v="2.99"/>
    <n v="73"/>
    <x v="97"/>
    <n v="21.827000000000002"/>
  </r>
  <r>
    <n v="1114"/>
    <x v="50"/>
    <n v="28"/>
    <x v="7"/>
    <s v="789 28th Street"/>
    <x v="6"/>
    <x v="6"/>
    <n v="99999"/>
    <s v="USA"/>
    <x v="5"/>
    <x v="3"/>
    <n v="41789"/>
    <s v="Shipping Company C"/>
    <s v="Amritansh Raghav"/>
    <s v="789 28th Street"/>
    <x v="6"/>
    <x v="6"/>
    <n v="99999"/>
    <x v="0"/>
    <x v="1"/>
    <x v="8"/>
    <x v="4"/>
    <n v="9.65"/>
    <n v="74"/>
    <x v="98"/>
    <n v="67.839500000000001"/>
  </r>
  <r>
    <n v="1115"/>
    <x v="50"/>
    <n v="28"/>
    <x v="7"/>
    <s v="789 28th Street"/>
    <x v="6"/>
    <x v="6"/>
    <n v="99999"/>
    <s v="USA"/>
    <x v="5"/>
    <x v="3"/>
    <d v="2014-05-30T00:00:00"/>
    <s v="Shipping Company C"/>
    <s v="Amritansh Raghav"/>
    <s v="789 28th Street"/>
    <x v="6"/>
    <x v="6"/>
    <n v="99999"/>
    <x v="0"/>
    <x v="1"/>
    <x v="13"/>
    <x v="8"/>
    <n v="18.399999999999999"/>
    <n v="25"/>
    <x v="99"/>
    <n v="46.46"/>
  </r>
  <r>
    <n v="1116"/>
    <x v="56"/>
    <n v="9"/>
    <x v="12"/>
    <s v="123 9th Street"/>
    <x v="11"/>
    <x v="11"/>
    <n v="99999"/>
    <s v="USA"/>
    <x v="7"/>
    <x v="0"/>
    <d v="2014-05-11T00:00:00"/>
    <s v="Shipping Company A"/>
    <s v="Sven Mortensen"/>
    <s v="123 9th Street"/>
    <x v="11"/>
    <x v="11"/>
    <n v="99999"/>
    <x v="0"/>
    <x v="0"/>
    <x v="14"/>
    <x v="9"/>
    <n v="19.5"/>
    <n v="82"/>
    <x v="100"/>
    <n v="153.50399999999999"/>
  </r>
  <r>
    <n v="1117"/>
    <x v="56"/>
    <n v="9"/>
    <x v="12"/>
    <s v="123 9th Street"/>
    <x v="11"/>
    <x v="11"/>
    <n v="99999"/>
    <s v="USA"/>
    <x v="7"/>
    <x v="0"/>
    <d v="2014-05-11T00:00:00"/>
    <s v="Shipping Company A"/>
    <s v="Sven Mortensen"/>
    <s v="123 9th Street"/>
    <x v="11"/>
    <x v="11"/>
    <n v="99999"/>
    <x v="0"/>
    <x v="0"/>
    <x v="15"/>
    <x v="10"/>
    <n v="34.799999999999997"/>
    <n v="37"/>
    <x v="101"/>
    <n v="132.62279999999998"/>
  </r>
  <r>
    <n v="1118"/>
    <x v="49"/>
    <n v="6"/>
    <x v="6"/>
    <s v="123 6th Street"/>
    <x v="5"/>
    <x v="5"/>
    <n v="99999"/>
    <s v="USA"/>
    <x v="4"/>
    <x v="2"/>
    <n v="41767"/>
    <s v="Shipping Company B"/>
    <s v="Francisco Pérez-Olaeta"/>
    <s v="123 6th Street"/>
    <x v="5"/>
    <x v="5"/>
    <n v="99999"/>
    <x v="0"/>
    <x v="1"/>
    <x v="0"/>
    <x v="0"/>
    <n v="14"/>
    <n v="84"/>
    <x v="102"/>
    <n v="112.896"/>
  </r>
  <r>
    <n v="1119"/>
    <x v="51"/>
    <n v="8"/>
    <x v="3"/>
    <s v="123 8th Street"/>
    <x v="2"/>
    <x v="2"/>
    <n v="99999"/>
    <s v="USA"/>
    <x v="2"/>
    <x v="2"/>
    <n v="41769"/>
    <s v="Shipping Company B"/>
    <s v="Elizabeth Andersen"/>
    <s v="123 8th Street"/>
    <x v="2"/>
    <x v="2"/>
    <n v="99999"/>
    <x v="0"/>
    <x v="0"/>
    <x v="9"/>
    <x v="5"/>
    <n v="40"/>
    <n v="73"/>
    <x v="103"/>
    <n v="283.24"/>
  </r>
  <r>
    <n v="1120"/>
    <x v="51"/>
    <n v="8"/>
    <x v="3"/>
    <s v="123 8th Street"/>
    <x v="2"/>
    <x v="2"/>
    <n v="99999"/>
    <s v="USA"/>
    <x v="2"/>
    <x v="2"/>
    <n v="41769"/>
    <s v="Shipping Company B"/>
    <s v="Elizabeth Andersen"/>
    <s v="123 8th Street"/>
    <x v="2"/>
    <x v="2"/>
    <n v="99999"/>
    <x v="0"/>
    <x v="0"/>
    <x v="6"/>
    <x v="2"/>
    <n v="9.1999999999999993"/>
    <n v="51"/>
    <x v="104"/>
    <n v="44.573999999999998"/>
  </r>
  <r>
    <n v="1121"/>
    <x v="57"/>
    <n v="25"/>
    <x v="13"/>
    <s v="789 25th Street"/>
    <x v="7"/>
    <x v="7"/>
    <n v="99999"/>
    <s v="USA"/>
    <x v="6"/>
    <x v="1"/>
    <n v="41786"/>
    <s v="Shipping Company A"/>
    <s v="John Rodman"/>
    <s v="789 25th Street"/>
    <x v="7"/>
    <x v="7"/>
    <n v="99999"/>
    <x v="0"/>
    <x v="2"/>
    <x v="21"/>
    <x v="2"/>
    <n v="10"/>
    <n v="66"/>
    <x v="91"/>
    <n v="68.64"/>
  </r>
  <r>
    <n v="1122"/>
    <x v="58"/>
    <n v="26"/>
    <x v="14"/>
    <s v="789 26th Street"/>
    <x v="9"/>
    <x v="9"/>
    <n v="99999"/>
    <s v="USA"/>
    <x v="5"/>
    <x v="3"/>
    <n v="41787"/>
    <s v="Shipping Company C"/>
    <s v="Run Liu"/>
    <s v="789 26th Street"/>
    <x v="9"/>
    <x v="9"/>
    <n v="99999"/>
    <x v="0"/>
    <x v="1"/>
    <x v="22"/>
    <x v="13"/>
    <n v="21.35"/>
    <n v="36"/>
    <x v="105"/>
    <n v="74.554200000000009"/>
  </r>
  <r>
    <n v="1123"/>
    <x v="58"/>
    <n v="26"/>
    <x v="14"/>
    <s v="789 26th Street"/>
    <x v="9"/>
    <x v="9"/>
    <n v="99999"/>
    <s v="USA"/>
    <x v="5"/>
    <x v="3"/>
    <d v="2014-05-28T00:00:00"/>
    <s v="Shipping Company C"/>
    <s v="Run Liu"/>
    <s v="789 26th Street"/>
    <x v="9"/>
    <x v="9"/>
    <n v="99999"/>
    <x v="0"/>
    <x v="1"/>
    <x v="8"/>
    <x v="4"/>
    <n v="9.65"/>
    <n v="87"/>
    <x v="106"/>
    <n v="87.313200000000009"/>
  </r>
  <r>
    <n v="1124"/>
    <x v="58"/>
    <n v="26"/>
    <x v="14"/>
    <s v="789 26th Street"/>
    <x v="9"/>
    <x v="9"/>
    <n v="99999"/>
    <s v="USA"/>
    <x v="5"/>
    <x v="3"/>
    <d v="2014-05-28T00:00:00"/>
    <s v="Shipping Company C"/>
    <s v="Run Liu"/>
    <s v="789 26th Street"/>
    <x v="9"/>
    <x v="9"/>
    <n v="99999"/>
    <x v="0"/>
    <x v="1"/>
    <x v="13"/>
    <x v="8"/>
    <n v="18.399999999999999"/>
    <n v="64"/>
    <x v="107"/>
    <n v="115.40479999999999"/>
  </r>
  <r>
    <n v="1125"/>
    <x v="47"/>
    <n v="29"/>
    <x v="4"/>
    <s v="789 29th Street"/>
    <x v="3"/>
    <x v="3"/>
    <n v="99999"/>
    <s v="USA"/>
    <x v="3"/>
    <x v="0"/>
    <d v="2014-05-31T00:00:00"/>
    <s v="Shipping Company B"/>
    <s v="Soo Jung Lee"/>
    <s v="789 29th Street"/>
    <x v="3"/>
    <x v="3"/>
    <n v="99999"/>
    <x v="0"/>
    <x v="0"/>
    <x v="0"/>
    <x v="0"/>
    <n v="14"/>
    <n v="21"/>
    <x v="108"/>
    <n v="30.870000000000005"/>
  </r>
  <r>
    <n v="1126"/>
    <x v="49"/>
    <n v="6"/>
    <x v="6"/>
    <s v="123 6th Street"/>
    <x v="5"/>
    <x v="5"/>
    <n v="99999"/>
    <s v="USA"/>
    <x v="4"/>
    <x v="2"/>
    <d v="2014-05-08T00:00:00"/>
    <s v="Shipping Company C"/>
    <s v="Francisco Pérez-Olaeta"/>
    <s v="123 6th Street"/>
    <x v="5"/>
    <x v="5"/>
    <n v="99999"/>
    <x v="0"/>
    <x v="0"/>
    <x v="7"/>
    <x v="3"/>
    <n v="12.75"/>
    <n v="19"/>
    <x v="109"/>
    <n v="24.46725"/>
  </r>
  <r>
    <n v="1128"/>
    <x v="59"/>
    <n v="4"/>
    <x v="1"/>
    <s v="123 4th Street"/>
    <x v="1"/>
    <x v="1"/>
    <n v="99999"/>
    <s v="USA"/>
    <x v="1"/>
    <x v="1"/>
    <d v="2014-05-06T00:00:00"/>
    <s v="Shipping Company A"/>
    <s v="Christina Lee"/>
    <s v="123 4th Street"/>
    <x v="1"/>
    <x v="1"/>
    <n v="99999"/>
    <x v="0"/>
    <x v="1"/>
    <x v="23"/>
    <x v="6"/>
    <n v="81"/>
    <n v="23"/>
    <x v="110"/>
    <n v="195.61500000000001"/>
  </r>
  <r>
    <n v="1129"/>
    <x v="59"/>
    <n v="4"/>
    <x v="1"/>
    <s v="123 4th Street"/>
    <x v="1"/>
    <x v="1"/>
    <n v="99999"/>
    <s v="USA"/>
    <x v="1"/>
    <x v="1"/>
    <d v="2014-05-06T00:00:00"/>
    <s v="Shipping Company A"/>
    <s v="Christina Lee"/>
    <s v="123 4th Street"/>
    <x v="1"/>
    <x v="1"/>
    <n v="99999"/>
    <x v="0"/>
    <x v="1"/>
    <x v="24"/>
    <x v="14"/>
    <n v="7"/>
    <n v="72"/>
    <x v="111"/>
    <n v="51.912000000000006"/>
  </r>
  <r>
    <n v="1131"/>
    <x v="51"/>
    <n v="8"/>
    <x v="3"/>
    <s v="123 8th Street"/>
    <x v="2"/>
    <x v="2"/>
    <n v="99999"/>
    <s v="USA"/>
    <x v="2"/>
    <x v="2"/>
    <d v="2014-05-10T00:00:00"/>
    <s v="Shipping Company C"/>
    <s v="Elizabeth Andersen"/>
    <s v="123 8th Street"/>
    <x v="2"/>
    <x v="2"/>
    <n v="99999"/>
    <x v="0"/>
    <x v="1"/>
    <x v="15"/>
    <x v="10"/>
    <n v="34.799999999999997"/>
    <n v="22"/>
    <x v="112"/>
    <n v="75.02879999999999"/>
  </r>
  <r>
    <n v="1134"/>
    <x v="48"/>
    <n v="3"/>
    <x v="5"/>
    <s v="123 3rd Street"/>
    <x v="4"/>
    <x v="4"/>
    <n v="99999"/>
    <s v="USA"/>
    <x v="0"/>
    <x v="0"/>
    <d v="2014-05-05T00:00:00"/>
    <s v="Shipping Company B"/>
    <s v="Thomas Axerr"/>
    <s v="123 3rd Street"/>
    <x v="4"/>
    <x v="4"/>
    <n v="99999"/>
    <x v="0"/>
    <x v="2"/>
    <x v="16"/>
    <x v="7"/>
    <n v="10"/>
    <n v="82"/>
    <x v="113"/>
    <n v="85.28"/>
  </r>
  <r>
    <n v="1135"/>
    <x v="48"/>
    <n v="3"/>
    <x v="5"/>
    <s v="123 3rd Street"/>
    <x v="4"/>
    <x v="4"/>
    <n v="99999"/>
    <s v="USA"/>
    <x v="0"/>
    <x v="0"/>
    <d v="2014-05-05T00:00:00"/>
    <s v="Shipping Company B"/>
    <s v="Thomas Axerr"/>
    <s v="123 3rd Street"/>
    <x v="4"/>
    <x v="4"/>
    <n v="99999"/>
    <x v="0"/>
    <x v="2"/>
    <x v="9"/>
    <x v="5"/>
    <n v="40"/>
    <n v="98"/>
    <x v="114"/>
    <n v="411.6"/>
  </r>
  <r>
    <n v="1138"/>
    <x v="60"/>
    <n v="7"/>
    <x v="9"/>
    <s v="123 7th Street"/>
    <x v="8"/>
    <x v="8"/>
    <n v="99999"/>
    <s v="USA"/>
    <x v="2"/>
    <x v="2"/>
    <m/>
    <m/>
    <s v="Ming-Yang Xie"/>
    <s v="123 7th Street"/>
    <x v="8"/>
    <x v="8"/>
    <n v="99999"/>
    <x v="0"/>
    <x v="3"/>
    <x v="5"/>
    <x v="0"/>
    <n v="46"/>
    <n v="71"/>
    <x v="115"/>
    <n v="310.27"/>
  </r>
  <r>
    <n v="1139"/>
    <x v="61"/>
    <n v="10"/>
    <x v="8"/>
    <s v="123 10th Street"/>
    <x v="7"/>
    <x v="7"/>
    <n v="99999"/>
    <s v="USA"/>
    <x v="6"/>
    <x v="1"/>
    <d v="2014-06-12T00:00:00"/>
    <s v="Shipping Company A"/>
    <s v="Roland Wacker"/>
    <s v="123 10th Street"/>
    <x v="7"/>
    <x v="7"/>
    <n v="99999"/>
    <x v="0"/>
    <x v="3"/>
    <x v="11"/>
    <x v="6"/>
    <n v="25"/>
    <n v="40"/>
    <x v="116"/>
    <n v="105"/>
  </r>
  <r>
    <n v="1140"/>
    <x v="61"/>
    <n v="10"/>
    <x v="8"/>
    <s v="123 10th Street"/>
    <x v="7"/>
    <x v="7"/>
    <n v="99999"/>
    <s v="USA"/>
    <x v="6"/>
    <x v="1"/>
    <d v="2014-06-12T00:00:00"/>
    <s v="Shipping Company A"/>
    <s v="Roland Wacker"/>
    <s v="123 10th Street"/>
    <x v="7"/>
    <x v="7"/>
    <n v="99999"/>
    <x v="0"/>
    <x v="3"/>
    <x v="12"/>
    <x v="7"/>
    <n v="22"/>
    <n v="80"/>
    <x v="117"/>
    <n v="172.48"/>
  </r>
  <r>
    <n v="1141"/>
    <x v="61"/>
    <n v="10"/>
    <x v="8"/>
    <s v="123 10th Street"/>
    <x v="7"/>
    <x v="7"/>
    <n v="99999"/>
    <s v="USA"/>
    <x v="6"/>
    <x v="1"/>
    <d v="2014-06-12T00:00:00"/>
    <s v="Shipping Company A"/>
    <s v="Roland Wacker"/>
    <s v="123 10th Street"/>
    <x v="7"/>
    <x v="7"/>
    <n v="99999"/>
    <x v="0"/>
    <x v="3"/>
    <x v="6"/>
    <x v="2"/>
    <n v="9.1999999999999993"/>
    <n v="38"/>
    <x v="7"/>
    <n v="33.211999999999996"/>
  </r>
  <r>
    <n v="1142"/>
    <x v="62"/>
    <n v="11"/>
    <x v="10"/>
    <s v="123 11th Street"/>
    <x v="9"/>
    <x v="9"/>
    <n v="99999"/>
    <s v="USA"/>
    <x v="5"/>
    <x v="3"/>
    <m/>
    <s v="Shipping Company C"/>
    <s v="Peter Krschne"/>
    <s v="123 11th Street"/>
    <x v="9"/>
    <x v="9"/>
    <n v="99999"/>
    <x v="0"/>
    <x v="3"/>
    <x v="1"/>
    <x v="1"/>
    <n v="3.5"/>
    <n v="28"/>
    <x v="118"/>
    <n v="10.290000000000001"/>
  </r>
  <r>
    <n v="1143"/>
    <x v="62"/>
    <n v="11"/>
    <x v="10"/>
    <s v="123 11th Street"/>
    <x v="9"/>
    <x v="9"/>
    <n v="99999"/>
    <s v="USA"/>
    <x v="5"/>
    <x v="3"/>
    <m/>
    <s v="Shipping Company C"/>
    <s v="Peter Krschne"/>
    <s v="123 11th Street"/>
    <x v="9"/>
    <x v="9"/>
    <n v="99999"/>
    <x v="0"/>
    <x v="3"/>
    <x v="10"/>
    <x v="0"/>
    <n v="2.99"/>
    <n v="60"/>
    <x v="119"/>
    <n v="17.581200000000003"/>
  </r>
  <r>
    <n v="1144"/>
    <x v="63"/>
    <n v="1"/>
    <x v="11"/>
    <s v="123 1st Street"/>
    <x v="10"/>
    <x v="10"/>
    <n v="99999"/>
    <s v="USA"/>
    <x v="2"/>
    <x v="2"/>
    <m/>
    <m/>
    <s v="Anna Bedecs"/>
    <s v="123 1st Street"/>
    <x v="10"/>
    <x v="10"/>
    <n v="99999"/>
    <x v="0"/>
    <x v="3"/>
    <x v="4"/>
    <x v="0"/>
    <n v="18"/>
    <n v="33"/>
    <x v="120"/>
    <n v="58.212000000000003"/>
  </r>
  <r>
    <n v="1145"/>
    <x v="63"/>
    <n v="1"/>
    <x v="11"/>
    <s v="123 1st Street"/>
    <x v="10"/>
    <x v="10"/>
    <n v="99999"/>
    <s v="USA"/>
    <x v="2"/>
    <x v="2"/>
    <m/>
    <m/>
    <s v="Anna Bedecs"/>
    <s v="123 1st Street"/>
    <x v="10"/>
    <x v="10"/>
    <n v="99999"/>
    <x v="0"/>
    <x v="3"/>
    <x v="5"/>
    <x v="0"/>
    <n v="46"/>
    <n v="22"/>
    <x v="121"/>
    <n v="101.2"/>
  </r>
  <r>
    <n v="1146"/>
    <x v="63"/>
    <n v="1"/>
    <x v="11"/>
    <s v="123 1st Street"/>
    <x v="10"/>
    <x v="10"/>
    <n v="99999"/>
    <s v="USA"/>
    <x v="2"/>
    <x v="2"/>
    <m/>
    <m/>
    <s v="Anna Bedecs"/>
    <s v="123 1st Street"/>
    <x v="10"/>
    <x v="10"/>
    <n v="99999"/>
    <x v="0"/>
    <x v="3"/>
    <x v="10"/>
    <x v="0"/>
    <n v="2.99"/>
    <n v="51"/>
    <x v="122"/>
    <n v="14.944020000000002"/>
  </r>
  <r>
    <n v="1147"/>
    <x v="64"/>
    <n v="28"/>
    <x v="7"/>
    <s v="789 28th Street"/>
    <x v="6"/>
    <x v="6"/>
    <n v="99999"/>
    <s v="USA"/>
    <x v="5"/>
    <x v="3"/>
    <d v="2014-06-30T00:00:00"/>
    <s v="Shipping Company C"/>
    <s v="Amritansh Raghav"/>
    <s v="789 28th Street"/>
    <x v="6"/>
    <x v="6"/>
    <n v="99999"/>
    <x v="0"/>
    <x v="1"/>
    <x v="8"/>
    <x v="4"/>
    <n v="9.65"/>
    <n v="60"/>
    <x v="123"/>
    <n v="57.321000000000005"/>
  </r>
  <r>
    <n v="1148"/>
    <x v="64"/>
    <n v="28"/>
    <x v="7"/>
    <s v="789 28th Street"/>
    <x v="6"/>
    <x v="6"/>
    <n v="99999"/>
    <s v="USA"/>
    <x v="5"/>
    <x v="3"/>
    <d v="2014-06-30T00:00:00"/>
    <s v="Shipping Company C"/>
    <s v="Amritansh Raghav"/>
    <s v="789 28th Street"/>
    <x v="6"/>
    <x v="6"/>
    <n v="99999"/>
    <x v="0"/>
    <x v="1"/>
    <x v="13"/>
    <x v="8"/>
    <n v="18.399999999999999"/>
    <n v="98"/>
    <x v="124"/>
    <n v="183.9264"/>
  </r>
  <r>
    <n v="1149"/>
    <x v="65"/>
    <n v="9"/>
    <x v="12"/>
    <s v="123 9th Street"/>
    <x v="11"/>
    <x v="11"/>
    <n v="99999"/>
    <s v="USA"/>
    <x v="7"/>
    <x v="0"/>
    <d v="2014-06-11T00:00:00"/>
    <s v="Shipping Company A"/>
    <s v="Sven Mortensen"/>
    <s v="123 9th Street"/>
    <x v="11"/>
    <x v="11"/>
    <n v="99999"/>
    <x v="0"/>
    <x v="0"/>
    <x v="14"/>
    <x v="9"/>
    <n v="19.5"/>
    <n v="27"/>
    <x v="125"/>
    <n v="51.070500000000003"/>
  </r>
  <r>
    <n v="1150"/>
    <x v="65"/>
    <n v="9"/>
    <x v="12"/>
    <s v="123 9th Street"/>
    <x v="11"/>
    <x v="11"/>
    <n v="99999"/>
    <s v="USA"/>
    <x v="7"/>
    <x v="0"/>
    <d v="2014-06-11T00:00:00"/>
    <s v="Shipping Company A"/>
    <s v="Sven Mortensen"/>
    <s v="123 9th Street"/>
    <x v="11"/>
    <x v="11"/>
    <n v="99999"/>
    <x v="0"/>
    <x v="0"/>
    <x v="15"/>
    <x v="10"/>
    <n v="34.799999999999997"/>
    <n v="88"/>
    <x v="126"/>
    <n v="303.17759999999993"/>
  </r>
  <r>
    <n v="1151"/>
    <x v="66"/>
    <n v="6"/>
    <x v="6"/>
    <s v="123 6th Street"/>
    <x v="5"/>
    <x v="5"/>
    <n v="99999"/>
    <s v="USA"/>
    <x v="4"/>
    <x v="2"/>
    <d v="2014-06-08T00:00:00"/>
    <s v="Shipping Company B"/>
    <s v="Francisco Pérez-Olaeta"/>
    <s v="123 6th Street"/>
    <x v="5"/>
    <x v="5"/>
    <n v="99999"/>
    <x v="0"/>
    <x v="1"/>
    <x v="0"/>
    <x v="0"/>
    <n v="14"/>
    <n v="65"/>
    <x v="127"/>
    <n v="95.55"/>
  </r>
  <r>
    <n v="1152"/>
    <x v="67"/>
    <n v="8"/>
    <x v="3"/>
    <s v="123 8th Street"/>
    <x v="2"/>
    <x v="2"/>
    <n v="99999"/>
    <s v="USA"/>
    <x v="2"/>
    <x v="2"/>
    <d v="2014-06-10T00:00:00"/>
    <s v="Shipping Company B"/>
    <s v="Elizabeth Andersen"/>
    <s v="123 8th Street"/>
    <x v="2"/>
    <x v="2"/>
    <n v="99999"/>
    <x v="0"/>
    <x v="0"/>
    <x v="9"/>
    <x v="5"/>
    <n v="40"/>
    <n v="38"/>
    <x v="128"/>
    <n v="148.96"/>
  </r>
  <r>
    <n v="1153"/>
    <x v="67"/>
    <n v="8"/>
    <x v="3"/>
    <s v="123 8th Street"/>
    <x v="2"/>
    <x v="2"/>
    <n v="99999"/>
    <s v="USA"/>
    <x v="2"/>
    <x v="2"/>
    <n v="41800"/>
    <s v="Shipping Company B"/>
    <s v="Elizabeth Andersen"/>
    <s v="123 8th Street"/>
    <x v="2"/>
    <x v="2"/>
    <n v="99999"/>
    <x v="0"/>
    <x v="0"/>
    <x v="6"/>
    <x v="2"/>
    <n v="9.1999999999999993"/>
    <n v="80"/>
    <x v="129"/>
    <n v="70.656000000000006"/>
  </r>
  <r>
    <n v="1154"/>
    <x v="68"/>
    <n v="25"/>
    <x v="13"/>
    <s v="789 25th Street"/>
    <x v="7"/>
    <x v="7"/>
    <n v="99999"/>
    <s v="USA"/>
    <x v="6"/>
    <x v="1"/>
    <d v="2014-06-27T00:00:00"/>
    <s v="Shipping Company A"/>
    <s v="John Rodman"/>
    <s v="789 25th Street"/>
    <x v="7"/>
    <x v="7"/>
    <n v="99999"/>
    <x v="0"/>
    <x v="2"/>
    <x v="21"/>
    <x v="2"/>
    <n v="10"/>
    <n v="49"/>
    <x v="130"/>
    <n v="47.04"/>
  </r>
  <r>
    <n v="1155"/>
    <x v="69"/>
    <n v="26"/>
    <x v="14"/>
    <s v="789 26th Street"/>
    <x v="9"/>
    <x v="9"/>
    <n v="99999"/>
    <s v="USA"/>
    <x v="5"/>
    <x v="3"/>
    <d v="2014-06-28T00:00:00"/>
    <s v="Shipping Company C"/>
    <s v="Run Liu"/>
    <s v="789 26th Street"/>
    <x v="9"/>
    <x v="9"/>
    <n v="99999"/>
    <x v="0"/>
    <x v="1"/>
    <x v="22"/>
    <x v="13"/>
    <n v="21.35"/>
    <n v="90"/>
    <x v="131"/>
    <n v="186.38550000000004"/>
  </r>
  <r>
    <n v="1156"/>
    <x v="69"/>
    <n v="26"/>
    <x v="14"/>
    <s v="789 26th Street"/>
    <x v="9"/>
    <x v="9"/>
    <n v="99999"/>
    <s v="USA"/>
    <x v="5"/>
    <x v="3"/>
    <d v="2014-06-28T00:00:00"/>
    <s v="Shipping Company C"/>
    <s v="Run Liu"/>
    <s v="789 26th Street"/>
    <x v="9"/>
    <x v="9"/>
    <n v="99999"/>
    <x v="0"/>
    <x v="1"/>
    <x v="8"/>
    <x v="4"/>
    <n v="9.65"/>
    <n v="60"/>
    <x v="123"/>
    <n v="59.637000000000008"/>
  </r>
  <r>
    <n v="1157"/>
    <x v="69"/>
    <n v="26"/>
    <x v="14"/>
    <s v="789 26th Street"/>
    <x v="9"/>
    <x v="9"/>
    <n v="99999"/>
    <s v="USA"/>
    <x v="5"/>
    <x v="3"/>
    <n v="41818"/>
    <s v="Shipping Company C"/>
    <s v="Run Liu"/>
    <s v="789 26th Street"/>
    <x v="9"/>
    <x v="9"/>
    <n v="99999"/>
    <x v="0"/>
    <x v="1"/>
    <x v="13"/>
    <x v="8"/>
    <n v="18.399999999999999"/>
    <n v="39"/>
    <x v="132"/>
    <n v="71.759999999999991"/>
  </r>
  <r>
    <n v="1158"/>
    <x v="70"/>
    <n v="29"/>
    <x v="4"/>
    <s v="789 29th Street"/>
    <x v="3"/>
    <x v="3"/>
    <n v="99999"/>
    <s v="USA"/>
    <x v="3"/>
    <x v="0"/>
    <n v="41821"/>
    <s v="Shipping Company B"/>
    <s v="Soo Jung Lee"/>
    <s v="789 29th Street"/>
    <x v="3"/>
    <x v="3"/>
    <n v="99999"/>
    <x v="0"/>
    <x v="0"/>
    <x v="0"/>
    <x v="0"/>
    <n v="14"/>
    <n v="79"/>
    <x v="133"/>
    <n v="113.91800000000001"/>
  </r>
  <r>
    <n v="1159"/>
    <x v="66"/>
    <n v="6"/>
    <x v="6"/>
    <s v="123 6th Street"/>
    <x v="5"/>
    <x v="5"/>
    <n v="99999"/>
    <s v="USA"/>
    <x v="4"/>
    <x v="2"/>
    <n v="41798"/>
    <s v="Shipping Company C"/>
    <s v="Francisco Pérez-Olaeta"/>
    <s v="123 6th Street"/>
    <x v="5"/>
    <x v="5"/>
    <n v="99999"/>
    <x v="0"/>
    <x v="0"/>
    <x v="7"/>
    <x v="3"/>
    <n v="12.75"/>
    <n v="44"/>
    <x v="134"/>
    <n v="57.222000000000001"/>
  </r>
  <r>
    <n v="1161"/>
    <x v="71"/>
    <n v="4"/>
    <x v="1"/>
    <s v="123 4th Street"/>
    <x v="1"/>
    <x v="1"/>
    <n v="99999"/>
    <s v="USA"/>
    <x v="1"/>
    <x v="1"/>
    <n v="41796"/>
    <s v="Shipping Company A"/>
    <s v="Christina Lee"/>
    <s v="123 4th Street"/>
    <x v="1"/>
    <x v="1"/>
    <n v="99999"/>
    <x v="0"/>
    <x v="1"/>
    <x v="23"/>
    <x v="6"/>
    <n v="81"/>
    <n v="98"/>
    <x v="135"/>
    <n v="769.98599999999999"/>
  </r>
  <r>
    <n v="1162"/>
    <x v="71"/>
    <n v="4"/>
    <x v="1"/>
    <s v="123 4th Street"/>
    <x v="1"/>
    <x v="1"/>
    <n v="99999"/>
    <s v="USA"/>
    <x v="1"/>
    <x v="1"/>
    <n v="41796"/>
    <s v="Shipping Company A"/>
    <s v="Christina Lee"/>
    <s v="123 4th Street"/>
    <x v="1"/>
    <x v="1"/>
    <n v="99999"/>
    <x v="0"/>
    <x v="1"/>
    <x v="24"/>
    <x v="14"/>
    <n v="7"/>
    <n v="61"/>
    <x v="136"/>
    <n v="42.273000000000003"/>
  </r>
  <r>
    <n v="1164"/>
    <x v="67"/>
    <n v="8"/>
    <x v="3"/>
    <s v="123 8th Street"/>
    <x v="2"/>
    <x v="2"/>
    <n v="99999"/>
    <s v="USA"/>
    <x v="2"/>
    <x v="2"/>
    <d v="2014-06-10T00:00:00"/>
    <s v="Shipping Company C"/>
    <s v="Elizabeth Andersen"/>
    <s v="123 8th Street"/>
    <x v="2"/>
    <x v="2"/>
    <n v="99999"/>
    <x v="0"/>
    <x v="1"/>
    <x v="15"/>
    <x v="10"/>
    <n v="34.799999999999997"/>
    <n v="30"/>
    <x v="137"/>
    <n v="109.62"/>
  </r>
  <r>
    <n v="1167"/>
    <x v="72"/>
    <n v="3"/>
    <x v="5"/>
    <s v="123 3rd Street"/>
    <x v="4"/>
    <x v="4"/>
    <n v="99999"/>
    <s v="USA"/>
    <x v="0"/>
    <x v="0"/>
    <d v="2014-06-05T00:00:00"/>
    <s v="Shipping Company B"/>
    <s v="Thomas Axerr"/>
    <s v="123 3rd Street"/>
    <x v="4"/>
    <x v="4"/>
    <n v="99999"/>
    <x v="0"/>
    <x v="2"/>
    <x v="16"/>
    <x v="7"/>
    <n v="10"/>
    <n v="24"/>
    <x v="138"/>
    <n v="25.200000000000003"/>
  </r>
  <r>
    <n v="1168"/>
    <x v="72"/>
    <n v="3"/>
    <x v="5"/>
    <s v="123 3rd Street"/>
    <x v="4"/>
    <x v="4"/>
    <n v="99999"/>
    <s v="USA"/>
    <x v="0"/>
    <x v="0"/>
    <d v="2014-06-05T00:00:00"/>
    <s v="Shipping Company B"/>
    <s v="Thomas Axerr"/>
    <s v="123 3rd Street"/>
    <x v="4"/>
    <x v="4"/>
    <n v="99999"/>
    <x v="0"/>
    <x v="2"/>
    <x v="9"/>
    <x v="5"/>
    <n v="40"/>
    <n v="28"/>
    <x v="139"/>
    <n v="109.75999999999999"/>
  </r>
  <r>
    <n v="1172"/>
    <x v="61"/>
    <n v="10"/>
    <x v="8"/>
    <s v="123 10th Street"/>
    <x v="7"/>
    <x v="7"/>
    <n v="99999"/>
    <s v="USA"/>
    <x v="6"/>
    <x v="1"/>
    <d v="2014-06-12T00:00:00"/>
    <s v="Shipping Company B"/>
    <s v="Roland Wacker"/>
    <s v="123 10th Street"/>
    <x v="7"/>
    <x v="7"/>
    <n v="99999"/>
    <x v="0"/>
    <x v="1"/>
    <x v="18"/>
    <x v="1"/>
    <n v="10"/>
    <n v="74"/>
    <x v="140"/>
    <n v="71.78"/>
  </r>
  <r>
    <n v="1174"/>
    <x v="61"/>
    <n v="10"/>
    <x v="8"/>
    <s v="123 10th Street"/>
    <x v="7"/>
    <x v="7"/>
    <n v="99999"/>
    <s v="USA"/>
    <x v="6"/>
    <x v="1"/>
    <m/>
    <s v="Shipping Company A"/>
    <s v="Roland Wacker"/>
    <s v="123 10th Street"/>
    <x v="7"/>
    <x v="7"/>
    <n v="99999"/>
    <x v="0"/>
    <x v="3"/>
    <x v="1"/>
    <x v="1"/>
    <n v="3.5"/>
    <n v="90"/>
    <x v="141"/>
    <n v="30.24"/>
  </r>
  <r>
    <n v="1175"/>
    <x v="62"/>
    <n v="11"/>
    <x v="10"/>
    <s v="123 11th Street"/>
    <x v="9"/>
    <x v="9"/>
    <n v="99999"/>
    <s v="USA"/>
    <x v="5"/>
    <x v="3"/>
    <m/>
    <s v="Shipping Company C"/>
    <s v="Peter Krschne"/>
    <s v="123 11th Street"/>
    <x v="9"/>
    <x v="9"/>
    <n v="99999"/>
    <x v="0"/>
    <x v="3"/>
    <x v="9"/>
    <x v="5"/>
    <n v="40"/>
    <n v="27"/>
    <x v="142"/>
    <n v="111.24000000000001"/>
  </r>
  <r>
    <n v="1176"/>
    <x v="63"/>
    <n v="1"/>
    <x v="11"/>
    <s v="123 1st Street"/>
    <x v="10"/>
    <x v="10"/>
    <n v="99999"/>
    <s v="USA"/>
    <x v="2"/>
    <x v="2"/>
    <m/>
    <s v="Shipping Company C"/>
    <s v="Anna Bedecs"/>
    <s v="123 1st Street"/>
    <x v="10"/>
    <x v="10"/>
    <n v="99999"/>
    <x v="0"/>
    <x v="3"/>
    <x v="13"/>
    <x v="8"/>
    <n v="18.399999999999999"/>
    <n v="71"/>
    <x v="143"/>
    <n v="137.172"/>
  </r>
  <r>
    <n v="1177"/>
    <x v="64"/>
    <n v="28"/>
    <x v="7"/>
    <s v="789 28th Street"/>
    <x v="6"/>
    <x v="6"/>
    <n v="99999"/>
    <s v="USA"/>
    <x v="5"/>
    <x v="3"/>
    <d v="2014-06-30T00:00:00"/>
    <s v="Shipping Company C"/>
    <s v="Amritansh Raghav"/>
    <s v="789 28th Street"/>
    <x v="6"/>
    <x v="6"/>
    <n v="99999"/>
    <x v="0"/>
    <x v="1"/>
    <x v="5"/>
    <x v="0"/>
    <n v="46"/>
    <n v="74"/>
    <x v="144"/>
    <n v="340.40000000000003"/>
  </r>
  <r>
    <n v="1178"/>
    <x v="65"/>
    <n v="9"/>
    <x v="12"/>
    <s v="123 9th Street"/>
    <x v="11"/>
    <x v="11"/>
    <n v="99999"/>
    <s v="USA"/>
    <x v="7"/>
    <x v="0"/>
    <d v="2014-06-11T00:00:00"/>
    <s v="Shipping Company A"/>
    <s v="Sven Mortensen"/>
    <s v="123 9th Street"/>
    <x v="11"/>
    <x v="11"/>
    <n v="99999"/>
    <x v="0"/>
    <x v="0"/>
    <x v="8"/>
    <x v="4"/>
    <n v="9.65"/>
    <n v="76"/>
    <x v="145"/>
    <n v="72.6066"/>
  </r>
  <r>
    <n v="1179"/>
    <x v="66"/>
    <n v="6"/>
    <x v="6"/>
    <s v="123 6th Street"/>
    <x v="5"/>
    <x v="5"/>
    <n v="99999"/>
    <s v="USA"/>
    <x v="4"/>
    <x v="2"/>
    <d v="2014-06-08T00:00:00"/>
    <s v="Shipping Company B"/>
    <s v="Francisco Pérez-Olaeta"/>
    <s v="123 6th Street"/>
    <x v="5"/>
    <x v="5"/>
    <n v="99999"/>
    <x v="0"/>
    <x v="1"/>
    <x v="7"/>
    <x v="3"/>
    <n v="12.75"/>
    <n v="96"/>
    <x v="146"/>
    <n v="123.62400000000001"/>
  </r>
  <r>
    <n v="1180"/>
    <x v="67"/>
    <n v="8"/>
    <x v="3"/>
    <s v="123 8th Street"/>
    <x v="2"/>
    <x v="2"/>
    <n v="99999"/>
    <s v="USA"/>
    <x v="2"/>
    <x v="2"/>
    <d v="2014-06-10T00:00:00"/>
    <s v="Shipping Company B"/>
    <s v="Elizabeth Andersen"/>
    <s v="123 8th Street"/>
    <x v="2"/>
    <x v="2"/>
    <n v="99999"/>
    <x v="0"/>
    <x v="0"/>
    <x v="7"/>
    <x v="3"/>
    <n v="12.75"/>
    <n v="92"/>
    <x v="147"/>
    <n v="116.12700000000001"/>
  </r>
  <r>
    <n v="1181"/>
    <x v="68"/>
    <n v="25"/>
    <x v="13"/>
    <s v="789 25th Street"/>
    <x v="7"/>
    <x v="7"/>
    <n v="99999"/>
    <s v="USA"/>
    <x v="6"/>
    <x v="1"/>
    <d v="2014-06-27T00:00:00"/>
    <s v="Shipping Company A"/>
    <s v="John Rodman"/>
    <s v="789 25th Street"/>
    <x v="7"/>
    <x v="7"/>
    <n v="99999"/>
    <x v="0"/>
    <x v="2"/>
    <x v="12"/>
    <x v="7"/>
    <n v="22"/>
    <n v="93"/>
    <x v="148"/>
    <n v="200.50800000000001"/>
  </r>
  <r>
    <n v="1182"/>
    <x v="69"/>
    <n v="26"/>
    <x v="14"/>
    <s v="789 26th Street"/>
    <x v="9"/>
    <x v="9"/>
    <n v="99999"/>
    <s v="USA"/>
    <x v="5"/>
    <x v="3"/>
    <d v="2014-06-28T00:00:00"/>
    <s v="Shipping Company C"/>
    <s v="Run Liu"/>
    <s v="789 26th Street"/>
    <x v="9"/>
    <x v="9"/>
    <n v="99999"/>
    <x v="0"/>
    <x v="1"/>
    <x v="11"/>
    <x v="6"/>
    <n v="25"/>
    <n v="18"/>
    <x v="149"/>
    <n v="42.75"/>
  </r>
  <r>
    <n v="1183"/>
    <x v="70"/>
    <n v="29"/>
    <x v="4"/>
    <s v="789 29th Street"/>
    <x v="3"/>
    <x v="3"/>
    <n v="99999"/>
    <s v="USA"/>
    <x v="3"/>
    <x v="0"/>
    <d v="2014-07-01T00:00:00"/>
    <s v="Shipping Company B"/>
    <s v="Soo Jung Lee"/>
    <s v="789 29th Street"/>
    <x v="3"/>
    <x v="3"/>
    <n v="99999"/>
    <x v="0"/>
    <x v="0"/>
    <x v="19"/>
    <x v="12"/>
    <n v="39"/>
    <n v="98"/>
    <x v="150"/>
    <n v="397.48800000000006"/>
  </r>
  <r>
    <n v="1184"/>
    <x v="66"/>
    <n v="6"/>
    <x v="6"/>
    <s v="123 6th Street"/>
    <x v="5"/>
    <x v="5"/>
    <n v="99999"/>
    <s v="USA"/>
    <x v="4"/>
    <x v="2"/>
    <d v="2014-06-08T00:00:00"/>
    <s v="Shipping Company C"/>
    <s v="Francisco Pérez-Olaeta"/>
    <s v="123 6th Street"/>
    <x v="5"/>
    <x v="5"/>
    <n v="99999"/>
    <x v="0"/>
    <x v="0"/>
    <x v="2"/>
    <x v="1"/>
    <n v="30"/>
    <n v="46"/>
    <x v="65"/>
    <n v="135.24"/>
  </r>
  <r>
    <n v="1185"/>
    <x v="66"/>
    <n v="6"/>
    <x v="6"/>
    <s v="123 6th Street"/>
    <x v="5"/>
    <x v="5"/>
    <n v="99999"/>
    <s v="USA"/>
    <x v="4"/>
    <x v="2"/>
    <d v="2014-06-08T00:00:00"/>
    <s v="Shipping Company C"/>
    <s v="Francisco Pérez-Olaeta"/>
    <s v="123 6th Street"/>
    <x v="5"/>
    <x v="5"/>
    <n v="99999"/>
    <x v="0"/>
    <x v="0"/>
    <x v="3"/>
    <x v="1"/>
    <n v="53"/>
    <n v="14"/>
    <x v="48"/>
    <n v="74.2"/>
  </r>
  <r>
    <n v="1186"/>
    <x v="71"/>
    <n v="4"/>
    <x v="1"/>
    <s v="123 4th Street"/>
    <x v="1"/>
    <x v="1"/>
    <n v="99999"/>
    <s v="USA"/>
    <x v="1"/>
    <x v="1"/>
    <m/>
    <m/>
    <s v="Christina Lee"/>
    <s v="123 4th Street"/>
    <x v="1"/>
    <x v="1"/>
    <n v="99999"/>
    <x v="0"/>
    <x v="3"/>
    <x v="20"/>
    <x v="9"/>
    <n v="38"/>
    <n v="85"/>
    <x v="151"/>
    <n v="319.77"/>
  </r>
  <r>
    <n v="1187"/>
    <x v="72"/>
    <n v="3"/>
    <x v="5"/>
    <s v="123 3rd Street"/>
    <x v="4"/>
    <x v="4"/>
    <n v="99999"/>
    <s v="USA"/>
    <x v="0"/>
    <x v="0"/>
    <m/>
    <m/>
    <s v="Thomas Axerr"/>
    <s v="123 3rd Street"/>
    <x v="4"/>
    <x v="4"/>
    <n v="99999"/>
    <x v="0"/>
    <x v="3"/>
    <x v="10"/>
    <x v="0"/>
    <n v="2.99"/>
    <n v="88"/>
    <x v="76"/>
    <n v="25.522639999999999"/>
  </r>
  <r>
    <n v="1188"/>
    <x v="73"/>
    <n v="1"/>
    <x v="11"/>
    <s v="123 1st Street"/>
    <x v="10"/>
    <x v="10"/>
    <n v="99999"/>
    <s v="USA"/>
    <x v="2"/>
    <x v="2"/>
    <m/>
    <m/>
    <s v="Anna Bedecs"/>
    <s v="123 1st Street"/>
    <x v="10"/>
    <x v="10"/>
    <n v="99999"/>
    <x v="0"/>
    <x v="3"/>
    <x v="10"/>
    <x v="0"/>
    <n v="2.99"/>
    <n v="81"/>
    <x v="152"/>
    <n v="23.976810000000004"/>
  </r>
  <r>
    <n v="1189"/>
    <x v="74"/>
    <n v="28"/>
    <x v="7"/>
    <s v="789 28th Street"/>
    <x v="6"/>
    <x v="6"/>
    <n v="99999"/>
    <s v="USA"/>
    <x v="5"/>
    <x v="3"/>
    <d v="2014-07-30T00:00:00"/>
    <s v="Shipping Company C"/>
    <s v="Amritansh Raghav"/>
    <s v="789 28th Street"/>
    <x v="6"/>
    <x v="6"/>
    <n v="99999"/>
    <x v="0"/>
    <x v="1"/>
    <x v="8"/>
    <x v="4"/>
    <n v="9.65"/>
    <n v="33"/>
    <x v="153"/>
    <n v="30.252749999999999"/>
  </r>
  <r>
    <n v="1190"/>
    <x v="74"/>
    <n v="28"/>
    <x v="7"/>
    <s v="789 28th Street"/>
    <x v="6"/>
    <x v="6"/>
    <n v="99999"/>
    <s v="USA"/>
    <x v="5"/>
    <x v="3"/>
    <d v="2014-07-30T00:00:00"/>
    <s v="Shipping Company C"/>
    <s v="Amritansh Raghav"/>
    <s v="789 28th Street"/>
    <x v="6"/>
    <x v="6"/>
    <n v="99999"/>
    <x v="0"/>
    <x v="1"/>
    <x v="13"/>
    <x v="8"/>
    <n v="18.399999999999999"/>
    <n v="47"/>
    <x v="154"/>
    <n v="90.804000000000002"/>
  </r>
  <r>
    <n v="1191"/>
    <x v="75"/>
    <n v="9"/>
    <x v="12"/>
    <s v="123 9th Street"/>
    <x v="11"/>
    <x v="11"/>
    <n v="99999"/>
    <s v="USA"/>
    <x v="7"/>
    <x v="0"/>
    <d v="2014-07-11T00:00:00"/>
    <s v="Shipping Company A"/>
    <s v="Sven Mortensen"/>
    <s v="123 9th Street"/>
    <x v="11"/>
    <x v="11"/>
    <n v="99999"/>
    <x v="0"/>
    <x v="0"/>
    <x v="14"/>
    <x v="9"/>
    <n v="19.5"/>
    <n v="61"/>
    <x v="155"/>
    <n v="123.70800000000001"/>
  </r>
  <r>
    <n v="1192"/>
    <x v="75"/>
    <n v="9"/>
    <x v="12"/>
    <s v="123 9th Street"/>
    <x v="11"/>
    <x v="11"/>
    <n v="99999"/>
    <s v="USA"/>
    <x v="7"/>
    <x v="0"/>
    <d v="2014-07-11T00:00:00"/>
    <s v="Shipping Company A"/>
    <s v="Sven Mortensen"/>
    <s v="123 9th Street"/>
    <x v="11"/>
    <x v="11"/>
    <n v="99999"/>
    <x v="0"/>
    <x v="0"/>
    <x v="15"/>
    <x v="10"/>
    <n v="34.799999999999997"/>
    <n v="27"/>
    <x v="156"/>
    <n v="95.839199999999991"/>
  </r>
  <r>
    <n v="1193"/>
    <x v="76"/>
    <n v="6"/>
    <x v="6"/>
    <s v="123 6th Street"/>
    <x v="5"/>
    <x v="5"/>
    <n v="99999"/>
    <s v="USA"/>
    <x v="4"/>
    <x v="2"/>
    <d v="2014-07-08T00:00:00"/>
    <s v="Shipping Company B"/>
    <s v="Francisco Pérez-Olaeta"/>
    <s v="123 6th Street"/>
    <x v="5"/>
    <x v="5"/>
    <n v="99999"/>
    <x v="0"/>
    <x v="1"/>
    <x v="0"/>
    <x v="0"/>
    <n v="14"/>
    <n v="84"/>
    <x v="102"/>
    <n v="118.77600000000001"/>
  </r>
  <r>
    <n v="1194"/>
    <x v="77"/>
    <n v="8"/>
    <x v="3"/>
    <s v="123 8th Street"/>
    <x v="2"/>
    <x v="2"/>
    <n v="99999"/>
    <s v="USA"/>
    <x v="2"/>
    <x v="2"/>
    <d v="2014-07-10T00:00:00"/>
    <s v="Shipping Company B"/>
    <s v="Elizabeth Andersen"/>
    <s v="123 8th Street"/>
    <x v="2"/>
    <x v="2"/>
    <n v="99999"/>
    <x v="0"/>
    <x v="0"/>
    <x v="9"/>
    <x v="5"/>
    <n v="40"/>
    <n v="91"/>
    <x v="157"/>
    <n v="360.36"/>
  </r>
  <r>
    <n v="1195"/>
    <x v="77"/>
    <n v="8"/>
    <x v="3"/>
    <s v="123 8th Street"/>
    <x v="2"/>
    <x v="2"/>
    <n v="99999"/>
    <s v="USA"/>
    <x v="2"/>
    <x v="2"/>
    <d v="2014-07-10T00:00:00"/>
    <s v="Shipping Company B"/>
    <s v="Elizabeth Andersen"/>
    <s v="123 8th Street"/>
    <x v="2"/>
    <x v="2"/>
    <n v="99999"/>
    <x v="0"/>
    <x v="0"/>
    <x v="6"/>
    <x v="2"/>
    <n v="9.1999999999999993"/>
    <n v="36"/>
    <x v="158"/>
    <n v="34.444800000000001"/>
  </r>
  <r>
    <n v="1196"/>
    <x v="78"/>
    <n v="25"/>
    <x v="13"/>
    <s v="789 25th Street"/>
    <x v="7"/>
    <x v="7"/>
    <n v="99999"/>
    <s v="USA"/>
    <x v="6"/>
    <x v="1"/>
    <n v="41847"/>
    <s v="Shipping Company A"/>
    <s v="John Rodman"/>
    <s v="789 25th Street"/>
    <x v="7"/>
    <x v="7"/>
    <n v="99999"/>
    <x v="0"/>
    <x v="2"/>
    <x v="21"/>
    <x v="2"/>
    <n v="10"/>
    <n v="34"/>
    <x v="159"/>
    <n v="34.340000000000003"/>
  </r>
  <r>
    <n v="1197"/>
    <x v="79"/>
    <n v="26"/>
    <x v="14"/>
    <s v="789 26th Street"/>
    <x v="9"/>
    <x v="9"/>
    <n v="99999"/>
    <s v="USA"/>
    <x v="5"/>
    <x v="3"/>
    <n v="41848"/>
    <s v="Shipping Company C"/>
    <s v="Run Liu"/>
    <s v="789 26th Street"/>
    <x v="9"/>
    <x v="9"/>
    <n v="99999"/>
    <x v="0"/>
    <x v="1"/>
    <x v="22"/>
    <x v="13"/>
    <n v="21.35"/>
    <n v="81"/>
    <x v="160"/>
    <n v="178.12305000000003"/>
  </r>
  <r>
    <n v="1198"/>
    <x v="79"/>
    <n v="26"/>
    <x v="14"/>
    <s v="789 26th Street"/>
    <x v="9"/>
    <x v="9"/>
    <n v="99999"/>
    <s v="USA"/>
    <x v="5"/>
    <x v="3"/>
    <n v="41848"/>
    <s v="Shipping Company C"/>
    <s v="Run Liu"/>
    <s v="789 26th Street"/>
    <x v="9"/>
    <x v="9"/>
    <n v="99999"/>
    <x v="0"/>
    <x v="1"/>
    <x v="8"/>
    <x v="4"/>
    <n v="9.65"/>
    <n v="25"/>
    <x v="161"/>
    <n v="23.401250000000001"/>
  </r>
  <r>
    <n v="1199"/>
    <x v="79"/>
    <n v="26"/>
    <x v="14"/>
    <s v="789 26th Street"/>
    <x v="9"/>
    <x v="9"/>
    <n v="99999"/>
    <s v="USA"/>
    <x v="5"/>
    <x v="3"/>
    <n v="41848"/>
    <s v="Shipping Company C"/>
    <s v="Run Liu"/>
    <s v="789 26th Street"/>
    <x v="9"/>
    <x v="9"/>
    <n v="99999"/>
    <x v="0"/>
    <x v="1"/>
    <x v="13"/>
    <x v="8"/>
    <n v="18.399999999999999"/>
    <n v="12"/>
    <x v="162"/>
    <n v="22.08"/>
  </r>
  <r>
    <n v="1200"/>
    <x v="80"/>
    <n v="29"/>
    <x v="4"/>
    <s v="789 29th Street"/>
    <x v="3"/>
    <x v="3"/>
    <n v="99999"/>
    <s v="USA"/>
    <x v="3"/>
    <x v="0"/>
    <d v="2014-07-31T00:00:00"/>
    <s v="Shipping Company B"/>
    <s v="Soo Jung Lee"/>
    <s v="789 29th Street"/>
    <x v="3"/>
    <x v="3"/>
    <n v="99999"/>
    <x v="0"/>
    <x v="0"/>
    <x v="0"/>
    <x v="0"/>
    <n v="14"/>
    <n v="23"/>
    <x v="163"/>
    <n v="30.912000000000003"/>
  </r>
  <r>
    <n v="1201"/>
    <x v="76"/>
    <n v="6"/>
    <x v="6"/>
    <s v="123 6th Street"/>
    <x v="5"/>
    <x v="5"/>
    <n v="99999"/>
    <s v="USA"/>
    <x v="4"/>
    <x v="2"/>
    <d v="2014-07-08T00:00:00"/>
    <s v="Shipping Company C"/>
    <s v="Francisco Pérez-Olaeta"/>
    <s v="123 6th Street"/>
    <x v="5"/>
    <x v="5"/>
    <n v="99999"/>
    <x v="0"/>
    <x v="0"/>
    <x v="7"/>
    <x v="3"/>
    <n v="12.75"/>
    <n v="76"/>
    <x v="164"/>
    <n v="97.869"/>
  </r>
  <r>
    <n v="1203"/>
    <x v="81"/>
    <n v="4"/>
    <x v="1"/>
    <s v="123 4th Street"/>
    <x v="1"/>
    <x v="1"/>
    <n v="99999"/>
    <s v="USA"/>
    <x v="1"/>
    <x v="1"/>
    <d v="2014-07-06T00:00:00"/>
    <s v="Shipping Company A"/>
    <s v="Christina Lee"/>
    <s v="123 4th Street"/>
    <x v="1"/>
    <x v="1"/>
    <n v="99999"/>
    <x v="0"/>
    <x v="1"/>
    <x v="23"/>
    <x v="6"/>
    <n v="81"/>
    <n v="55"/>
    <x v="165"/>
    <n v="445.5"/>
  </r>
  <r>
    <n v="1204"/>
    <x v="81"/>
    <n v="4"/>
    <x v="1"/>
    <s v="123 4th Street"/>
    <x v="1"/>
    <x v="1"/>
    <n v="99999"/>
    <s v="USA"/>
    <x v="1"/>
    <x v="1"/>
    <d v="2014-07-06T00:00:00"/>
    <s v="Shipping Company A"/>
    <s v="Christina Lee"/>
    <s v="123 4th Street"/>
    <x v="1"/>
    <x v="1"/>
    <n v="99999"/>
    <x v="0"/>
    <x v="1"/>
    <x v="24"/>
    <x v="14"/>
    <n v="7"/>
    <n v="19"/>
    <x v="166"/>
    <n v="12.901"/>
  </r>
  <r>
    <n v="1206"/>
    <x v="77"/>
    <n v="8"/>
    <x v="3"/>
    <s v="123 8th Street"/>
    <x v="2"/>
    <x v="2"/>
    <n v="99999"/>
    <s v="USA"/>
    <x v="2"/>
    <x v="2"/>
    <d v="2014-07-10T00:00:00"/>
    <s v="Shipping Company C"/>
    <s v="Elizabeth Andersen"/>
    <s v="123 8th Street"/>
    <x v="2"/>
    <x v="2"/>
    <n v="99999"/>
    <x v="0"/>
    <x v="1"/>
    <x v="15"/>
    <x v="10"/>
    <n v="34.799999999999997"/>
    <n v="27"/>
    <x v="156"/>
    <n v="89.261999999999986"/>
  </r>
  <r>
    <n v="1209"/>
    <x v="82"/>
    <n v="3"/>
    <x v="5"/>
    <s v="123 3rd Street"/>
    <x v="4"/>
    <x v="4"/>
    <n v="99999"/>
    <s v="USA"/>
    <x v="0"/>
    <x v="0"/>
    <d v="2014-07-05T00:00:00"/>
    <s v="Shipping Company B"/>
    <s v="Thomas Axerr"/>
    <s v="123 3rd Street"/>
    <x v="4"/>
    <x v="4"/>
    <n v="99999"/>
    <x v="0"/>
    <x v="2"/>
    <x v="16"/>
    <x v="7"/>
    <n v="10"/>
    <n v="99"/>
    <x v="82"/>
    <n v="95.039999999999992"/>
  </r>
  <r>
    <n v="1210"/>
    <x v="82"/>
    <n v="3"/>
    <x v="5"/>
    <s v="123 3rd Street"/>
    <x v="4"/>
    <x v="4"/>
    <n v="99999"/>
    <s v="USA"/>
    <x v="0"/>
    <x v="0"/>
    <d v="2014-07-05T00:00:00"/>
    <s v="Shipping Company B"/>
    <s v="Thomas Axerr"/>
    <s v="123 3rd Street"/>
    <x v="4"/>
    <x v="4"/>
    <n v="99999"/>
    <x v="0"/>
    <x v="2"/>
    <x v="9"/>
    <x v="5"/>
    <n v="40"/>
    <n v="10"/>
    <x v="167"/>
    <n v="40"/>
  </r>
  <r>
    <n v="1214"/>
    <x v="83"/>
    <n v="10"/>
    <x v="8"/>
    <s v="123 10th Street"/>
    <x v="7"/>
    <x v="7"/>
    <n v="99999"/>
    <s v="USA"/>
    <x v="6"/>
    <x v="1"/>
    <d v="2014-07-12T00:00:00"/>
    <s v="Shipping Company B"/>
    <s v="Roland Wacker"/>
    <s v="123 10th Street"/>
    <x v="7"/>
    <x v="7"/>
    <n v="99999"/>
    <x v="0"/>
    <x v="1"/>
    <x v="18"/>
    <x v="1"/>
    <n v="10"/>
    <n v="80"/>
    <x v="168"/>
    <n v="77.599999999999994"/>
  </r>
  <r>
    <n v="1216"/>
    <x v="83"/>
    <n v="10"/>
    <x v="8"/>
    <s v="123 10th Street"/>
    <x v="7"/>
    <x v="7"/>
    <n v="99999"/>
    <s v="USA"/>
    <x v="6"/>
    <x v="1"/>
    <m/>
    <s v="Shipping Company A"/>
    <s v="Roland Wacker"/>
    <s v="123 10th Street"/>
    <x v="7"/>
    <x v="7"/>
    <n v="99999"/>
    <x v="0"/>
    <x v="3"/>
    <x v="1"/>
    <x v="1"/>
    <n v="3.5"/>
    <n v="27"/>
    <x v="169"/>
    <n v="9.072000000000001"/>
  </r>
  <r>
    <n v="1217"/>
    <x v="84"/>
    <n v="11"/>
    <x v="10"/>
    <s v="123 11th Street"/>
    <x v="9"/>
    <x v="9"/>
    <n v="99999"/>
    <s v="USA"/>
    <x v="5"/>
    <x v="3"/>
    <m/>
    <s v="Shipping Company C"/>
    <s v="Peter Krschne"/>
    <s v="123 11th Street"/>
    <x v="9"/>
    <x v="9"/>
    <n v="99999"/>
    <x v="0"/>
    <x v="3"/>
    <x v="9"/>
    <x v="5"/>
    <n v="40"/>
    <n v="97"/>
    <x v="170"/>
    <n v="380.24"/>
  </r>
  <r>
    <n v="1218"/>
    <x v="73"/>
    <n v="1"/>
    <x v="11"/>
    <s v="123 1st Street"/>
    <x v="10"/>
    <x v="10"/>
    <n v="99999"/>
    <s v="USA"/>
    <x v="2"/>
    <x v="2"/>
    <m/>
    <s v="Shipping Company C"/>
    <s v="Anna Bedecs"/>
    <s v="123 1st Street"/>
    <x v="10"/>
    <x v="10"/>
    <n v="99999"/>
    <x v="0"/>
    <x v="3"/>
    <x v="13"/>
    <x v="8"/>
    <n v="18.399999999999999"/>
    <n v="42"/>
    <x v="171"/>
    <n v="80.371200000000002"/>
  </r>
  <r>
    <n v="1219"/>
    <x v="74"/>
    <n v="28"/>
    <x v="7"/>
    <s v="789 28th Street"/>
    <x v="6"/>
    <x v="6"/>
    <n v="99999"/>
    <s v="USA"/>
    <x v="5"/>
    <x v="3"/>
    <n v="41850"/>
    <s v="Shipping Company C"/>
    <s v="Amritansh Raghav"/>
    <s v="789 28th Street"/>
    <x v="6"/>
    <x v="6"/>
    <n v="99999"/>
    <x v="0"/>
    <x v="1"/>
    <x v="5"/>
    <x v="0"/>
    <n v="46"/>
    <n v="24"/>
    <x v="15"/>
    <n v="105.98399999999999"/>
  </r>
  <r>
    <n v="1220"/>
    <x v="75"/>
    <n v="9"/>
    <x v="12"/>
    <s v="123 9th Street"/>
    <x v="11"/>
    <x v="11"/>
    <n v="99999"/>
    <s v="USA"/>
    <x v="7"/>
    <x v="0"/>
    <d v="2014-07-11T00:00:00"/>
    <s v="Shipping Company A"/>
    <s v="Sven Mortensen"/>
    <s v="123 9th Street"/>
    <x v="11"/>
    <x v="11"/>
    <n v="99999"/>
    <x v="0"/>
    <x v="0"/>
    <x v="8"/>
    <x v="4"/>
    <n v="9.65"/>
    <n v="90"/>
    <x v="172"/>
    <n v="83.376000000000005"/>
  </r>
  <r>
    <n v="1221"/>
    <x v="76"/>
    <n v="6"/>
    <x v="6"/>
    <s v="123 6th Street"/>
    <x v="5"/>
    <x v="5"/>
    <n v="99999"/>
    <s v="USA"/>
    <x v="4"/>
    <x v="2"/>
    <d v="2014-07-08T00:00:00"/>
    <s v="Shipping Company B"/>
    <s v="Francisco Pérez-Olaeta"/>
    <s v="123 6th Street"/>
    <x v="5"/>
    <x v="5"/>
    <n v="99999"/>
    <x v="0"/>
    <x v="1"/>
    <x v="7"/>
    <x v="3"/>
    <n v="12.75"/>
    <n v="28"/>
    <x v="173"/>
    <n v="35.700000000000003"/>
  </r>
  <r>
    <n v="1222"/>
    <x v="85"/>
    <n v="28"/>
    <x v="7"/>
    <s v="789 28th Street"/>
    <x v="6"/>
    <x v="6"/>
    <n v="99999"/>
    <s v="USA"/>
    <x v="5"/>
    <x v="3"/>
    <d v="2014-08-30T00:00:00"/>
    <s v="Shipping Company C"/>
    <s v="Amritansh Raghav"/>
    <s v="789 28th Street"/>
    <x v="6"/>
    <x v="6"/>
    <n v="99999"/>
    <x v="0"/>
    <x v="0"/>
    <x v="5"/>
    <x v="0"/>
    <n v="46"/>
    <n v="28"/>
    <x v="174"/>
    <n v="133.95200000000003"/>
  </r>
  <r>
    <n v="1223"/>
    <x v="86"/>
    <n v="8"/>
    <x v="3"/>
    <s v="123 8th Street"/>
    <x v="2"/>
    <x v="2"/>
    <n v="99999"/>
    <s v="USA"/>
    <x v="2"/>
    <x v="2"/>
    <d v="2014-08-10T00:00:00"/>
    <s v="Shipping Company C"/>
    <s v="Elizabeth Andersen"/>
    <s v="123 8th Street"/>
    <x v="2"/>
    <x v="2"/>
    <n v="99999"/>
    <x v="0"/>
    <x v="0"/>
    <x v="7"/>
    <x v="3"/>
    <n v="12.75"/>
    <n v="57"/>
    <x v="175"/>
    <n v="69.768000000000001"/>
  </r>
  <r>
    <n v="1224"/>
    <x v="87"/>
    <n v="10"/>
    <x v="8"/>
    <s v="123 10th Street"/>
    <x v="7"/>
    <x v="7"/>
    <n v="99999"/>
    <s v="USA"/>
    <x v="6"/>
    <x v="1"/>
    <d v="2014-08-12T00:00:00"/>
    <s v="Shipping Company B"/>
    <s v="Roland Wacker"/>
    <s v="123 10th Street"/>
    <x v="7"/>
    <x v="7"/>
    <n v="99999"/>
    <x v="0"/>
    <x v="1"/>
    <x v="10"/>
    <x v="0"/>
    <n v="2.99"/>
    <n v="23"/>
    <x v="176"/>
    <n v="6.6706900000000013"/>
  </r>
  <r>
    <n v="1225"/>
    <x v="88"/>
    <n v="7"/>
    <x v="9"/>
    <s v="123 7th Street"/>
    <x v="8"/>
    <x v="8"/>
    <n v="99999"/>
    <s v="USA"/>
    <x v="2"/>
    <x v="2"/>
    <m/>
    <m/>
    <s v="Ming-Yang Xie"/>
    <s v="123 7th Street"/>
    <x v="8"/>
    <x v="8"/>
    <n v="99999"/>
    <x v="0"/>
    <x v="3"/>
    <x v="5"/>
    <x v="0"/>
    <n v="46"/>
    <n v="86"/>
    <x v="177"/>
    <n v="399.55600000000004"/>
  </r>
  <r>
    <n v="1226"/>
    <x v="87"/>
    <n v="10"/>
    <x v="8"/>
    <s v="123 10th Street"/>
    <x v="7"/>
    <x v="7"/>
    <n v="99999"/>
    <s v="USA"/>
    <x v="6"/>
    <x v="1"/>
    <d v="2014-08-12T00:00:00"/>
    <s v="Shipping Company A"/>
    <s v="Roland Wacker"/>
    <s v="123 10th Street"/>
    <x v="7"/>
    <x v="7"/>
    <n v="99999"/>
    <x v="0"/>
    <x v="3"/>
    <x v="11"/>
    <x v="6"/>
    <n v="25"/>
    <n v="47"/>
    <x v="178"/>
    <n v="116.325"/>
  </r>
  <r>
    <n v="1227"/>
    <x v="87"/>
    <n v="10"/>
    <x v="8"/>
    <s v="123 10th Street"/>
    <x v="7"/>
    <x v="7"/>
    <n v="99999"/>
    <s v="USA"/>
    <x v="6"/>
    <x v="1"/>
    <d v="2014-08-12T00:00:00"/>
    <s v="Shipping Company A"/>
    <s v="Roland Wacker"/>
    <s v="123 10th Street"/>
    <x v="7"/>
    <x v="7"/>
    <n v="99999"/>
    <x v="0"/>
    <x v="3"/>
    <x v="12"/>
    <x v="7"/>
    <n v="22"/>
    <n v="97"/>
    <x v="179"/>
    <n v="221.93600000000001"/>
  </r>
  <r>
    <n v="1228"/>
    <x v="87"/>
    <n v="10"/>
    <x v="8"/>
    <s v="123 10th Street"/>
    <x v="7"/>
    <x v="7"/>
    <n v="99999"/>
    <s v="USA"/>
    <x v="6"/>
    <x v="1"/>
    <d v="2014-08-12T00:00:00"/>
    <s v="Shipping Company A"/>
    <s v="Roland Wacker"/>
    <s v="123 10th Street"/>
    <x v="7"/>
    <x v="7"/>
    <n v="99999"/>
    <x v="0"/>
    <x v="3"/>
    <x v="6"/>
    <x v="2"/>
    <n v="9.1999999999999993"/>
    <n v="96"/>
    <x v="180"/>
    <n v="86.553599999999989"/>
  </r>
  <r>
    <n v="1229"/>
    <x v="89"/>
    <n v="11"/>
    <x v="10"/>
    <s v="123 11th Street"/>
    <x v="9"/>
    <x v="9"/>
    <n v="99999"/>
    <s v="USA"/>
    <x v="5"/>
    <x v="3"/>
    <m/>
    <s v="Shipping Company C"/>
    <s v="Peter Krschne"/>
    <s v="123 11th Street"/>
    <x v="9"/>
    <x v="9"/>
    <n v="99999"/>
    <x v="0"/>
    <x v="3"/>
    <x v="1"/>
    <x v="1"/>
    <n v="3.5"/>
    <n v="31"/>
    <x v="181"/>
    <n v="10.850000000000001"/>
  </r>
  <r>
    <n v="1230"/>
    <x v="89"/>
    <n v="11"/>
    <x v="10"/>
    <s v="123 11th Street"/>
    <x v="9"/>
    <x v="9"/>
    <n v="99999"/>
    <s v="USA"/>
    <x v="5"/>
    <x v="3"/>
    <m/>
    <s v="Shipping Company C"/>
    <s v="Peter Krschne"/>
    <s v="123 11th Street"/>
    <x v="9"/>
    <x v="9"/>
    <n v="99999"/>
    <x v="0"/>
    <x v="3"/>
    <x v="10"/>
    <x v="0"/>
    <n v="2.99"/>
    <n v="52"/>
    <x v="182"/>
    <n v="16.014440000000004"/>
  </r>
  <r>
    <n v="1231"/>
    <x v="90"/>
    <n v="1"/>
    <x v="11"/>
    <s v="123 1st Street"/>
    <x v="10"/>
    <x v="10"/>
    <n v="99999"/>
    <s v="USA"/>
    <x v="2"/>
    <x v="2"/>
    <m/>
    <m/>
    <s v="Anna Bedecs"/>
    <s v="123 1st Street"/>
    <x v="10"/>
    <x v="10"/>
    <n v="99999"/>
    <x v="0"/>
    <x v="3"/>
    <x v="4"/>
    <x v="0"/>
    <n v="18"/>
    <n v="91"/>
    <x v="183"/>
    <n v="158.886"/>
  </r>
  <r>
    <n v="1232"/>
    <x v="90"/>
    <n v="1"/>
    <x v="11"/>
    <s v="123 1st Street"/>
    <x v="10"/>
    <x v="10"/>
    <n v="99999"/>
    <s v="USA"/>
    <x v="2"/>
    <x v="2"/>
    <m/>
    <m/>
    <s v="Anna Bedecs"/>
    <s v="123 1st Street"/>
    <x v="10"/>
    <x v="10"/>
    <n v="99999"/>
    <x v="0"/>
    <x v="3"/>
    <x v="5"/>
    <x v="0"/>
    <n v="46"/>
    <n v="14"/>
    <x v="184"/>
    <n v="63.756000000000007"/>
  </r>
  <r>
    <n v="1233"/>
    <x v="90"/>
    <n v="1"/>
    <x v="11"/>
    <s v="123 1st Street"/>
    <x v="10"/>
    <x v="10"/>
    <n v="99999"/>
    <s v="USA"/>
    <x v="2"/>
    <x v="2"/>
    <m/>
    <m/>
    <s v="Anna Bedecs"/>
    <s v="123 1st Street"/>
    <x v="10"/>
    <x v="10"/>
    <n v="99999"/>
    <x v="0"/>
    <x v="3"/>
    <x v="10"/>
    <x v="0"/>
    <n v="2.99"/>
    <n v="44"/>
    <x v="185"/>
    <n v="13.287560000000001"/>
  </r>
  <r>
    <n v="1234"/>
    <x v="85"/>
    <n v="28"/>
    <x v="7"/>
    <s v="789 28th Street"/>
    <x v="6"/>
    <x v="6"/>
    <n v="99999"/>
    <s v="USA"/>
    <x v="5"/>
    <x v="3"/>
    <d v="2014-08-30T00:00:00"/>
    <s v="Shipping Company C"/>
    <s v="Amritansh Raghav"/>
    <s v="789 28th Street"/>
    <x v="6"/>
    <x v="6"/>
    <n v="99999"/>
    <x v="0"/>
    <x v="1"/>
    <x v="8"/>
    <x v="4"/>
    <n v="9.65"/>
    <n v="97"/>
    <x v="53"/>
    <n v="95.477100000000021"/>
  </r>
  <r>
    <n v="1235"/>
    <x v="85"/>
    <n v="28"/>
    <x v="7"/>
    <s v="789 28th Street"/>
    <x v="6"/>
    <x v="6"/>
    <n v="99999"/>
    <s v="USA"/>
    <x v="5"/>
    <x v="3"/>
    <d v="2014-08-30T00:00:00"/>
    <s v="Shipping Company C"/>
    <s v="Amritansh Raghav"/>
    <s v="789 28th Street"/>
    <x v="6"/>
    <x v="6"/>
    <n v="99999"/>
    <x v="0"/>
    <x v="1"/>
    <x v="13"/>
    <x v="8"/>
    <n v="18.399999999999999"/>
    <n v="80"/>
    <x v="36"/>
    <n v="150.14400000000003"/>
  </r>
  <r>
    <n v="1236"/>
    <x v="91"/>
    <n v="9"/>
    <x v="12"/>
    <s v="123 9th Street"/>
    <x v="11"/>
    <x v="11"/>
    <n v="99999"/>
    <s v="USA"/>
    <x v="7"/>
    <x v="0"/>
    <d v="2014-08-11T00:00:00"/>
    <s v="Shipping Company A"/>
    <s v="Sven Mortensen"/>
    <s v="123 9th Street"/>
    <x v="11"/>
    <x v="11"/>
    <n v="99999"/>
    <x v="0"/>
    <x v="0"/>
    <x v="14"/>
    <x v="9"/>
    <n v="19.5"/>
    <n v="66"/>
    <x v="186"/>
    <n v="132.56100000000001"/>
  </r>
  <r>
    <n v="1237"/>
    <x v="91"/>
    <n v="9"/>
    <x v="12"/>
    <s v="123 9th Street"/>
    <x v="11"/>
    <x v="11"/>
    <n v="99999"/>
    <s v="USA"/>
    <x v="7"/>
    <x v="0"/>
    <d v="2014-08-11T00:00:00"/>
    <s v="Shipping Company A"/>
    <s v="Sven Mortensen"/>
    <s v="123 9th Street"/>
    <x v="11"/>
    <x v="11"/>
    <n v="99999"/>
    <x v="0"/>
    <x v="0"/>
    <x v="15"/>
    <x v="10"/>
    <n v="34.799999999999997"/>
    <n v="32"/>
    <x v="187"/>
    <n v="111.36"/>
  </r>
  <r>
    <n v="1238"/>
    <x v="92"/>
    <n v="6"/>
    <x v="6"/>
    <s v="123 6th Street"/>
    <x v="5"/>
    <x v="5"/>
    <n v="99999"/>
    <s v="USA"/>
    <x v="4"/>
    <x v="2"/>
    <d v="2014-08-08T00:00:00"/>
    <s v="Shipping Company B"/>
    <s v="Francisco Pérez-Olaeta"/>
    <s v="123 6th Street"/>
    <x v="5"/>
    <x v="5"/>
    <n v="99999"/>
    <x v="0"/>
    <x v="1"/>
    <x v="0"/>
    <x v="0"/>
    <n v="14"/>
    <n v="52"/>
    <x v="188"/>
    <n v="72.8"/>
  </r>
  <r>
    <n v="1239"/>
    <x v="86"/>
    <n v="8"/>
    <x v="3"/>
    <s v="123 8th Street"/>
    <x v="2"/>
    <x v="2"/>
    <n v="99999"/>
    <s v="USA"/>
    <x v="2"/>
    <x v="2"/>
    <d v="2014-08-10T00:00:00"/>
    <s v="Shipping Company B"/>
    <s v="Elizabeth Andersen"/>
    <s v="123 8th Street"/>
    <x v="2"/>
    <x v="2"/>
    <n v="99999"/>
    <x v="0"/>
    <x v="0"/>
    <x v="9"/>
    <x v="5"/>
    <n v="40"/>
    <n v="78"/>
    <x v="189"/>
    <n v="318.24"/>
  </r>
  <r>
    <n v="1240"/>
    <x v="86"/>
    <n v="8"/>
    <x v="3"/>
    <s v="123 8th Street"/>
    <x v="2"/>
    <x v="2"/>
    <n v="99999"/>
    <s v="USA"/>
    <x v="2"/>
    <x v="2"/>
    <d v="2014-08-10T00:00:00"/>
    <s v="Shipping Company B"/>
    <s v="Elizabeth Andersen"/>
    <s v="123 8th Street"/>
    <x v="2"/>
    <x v="2"/>
    <n v="99999"/>
    <x v="0"/>
    <x v="0"/>
    <x v="6"/>
    <x v="2"/>
    <n v="9.1999999999999993"/>
    <n v="54"/>
    <x v="190"/>
    <n v="49.183199999999999"/>
  </r>
  <r>
    <n v="1241"/>
    <x v="93"/>
    <n v="25"/>
    <x v="13"/>
    <s v="789 25th Street"/>
    <x v="7"/>
    <x v="7"/>
    <n v="99999"/>
    <s v="USA"/>
    <x v="6"/>
    <x v="1"/>
    <d v="2014-08-27T00:00:00"/>
    <s v="Shipping Company A"/>
    <s v="John Rodman"/>
    <s v="789 25th Street"/>
    <x v="7"/>
    <x v="7"/>
    <n v="99999"/>
    <x v="0"/>
    <x v="2"/>
    <x v="21"/>
    <x v="2"/>
    <n v="10"/>
    <n v="55"/>
    <x v="62"/>
    <n v="52.25"/>
  </r>
  <r>
    <n v="1242"/>
    <x v="94"/>
    <n v="26"/>
    <x v="14"/>
    <s v="789 26th Street"/>
    <x v="9"/>
    <x v="9"/>
    <n v="99999"/>
    <s v="USA"/>
    <x v="5"/>
    <x v="3"/>
    <d v="2014-08-28T00:00:00"/>
    <s v="Shipping Company C"/>
    <s v="Run Liu"/>
    <s v="789 26th Street"/>
    <x v="9"/>
    <x v="9"/>
    <n v="99999"/>
    <x v="0"/>
    <x v="1"/>
    <x v="22"/>
    <x v="13"/>
    <n v="21.35"/>
    <n v="60"/>
    <x v="191"/>
    <n v="129.381"/>
  </r>
  <r>
    <n v="1243"/>
    <x v="94"/>
    <n v="26"/>
    <x v="14"/>
    <s v="789 26th Street"/>
    <x v="9"/>
    <x v="9"/>
    <n v="99999"/>
    <s v="USA"/>
    <x v="5"/>
    <x v="3"/>
    <d v="2014-08-28T00:00:00"/>
    <s v="Shipping Company C"/>
    <s v="Run Liu"/>
    <s v="789 26th Street"/>
    <x v="9"/>
    <x v="9"/>
    <n v="99999"/>
    <x v="0"/>
    <x v="1"/>
    <x v="8"/>
    <x v="4"/>
    <n v="9.65"/>
    <n v="19"/>
    <x v="192"/>
    <n v="17.41825"/>
  </r>
  <r>
    <n v="1244"/>
    <x v="94"/>
    <n v="26"/>
    <x v="14"/>
    <s v="789 26th Street"/>
    <x v="9"/>
    <x v="9"/>
    <n v="99999"/>
    <s v="USA"/>
    <x v="5"/>
    <x v="3"/>
    <d v="2014-08-28T00:00:00"/>
    <s v="Shipping Company C"/>
    <s v="Run Liu"/>
    <s v="789 26th Street"/>
    <x v="9"/>
    <x v="9"/>
    <n v="99999"/>
    <x v="0"/>
    <x v="1"/>
    <x v="13"/>
    <x v="8"/>
    <n v="18.399999999999999"/>
    <n v="66"/>
    <x v="193"/>
    <n v="125.08320000000001"/>
  </r>
  <r>
    <n v="1245"/>
    <x v="95"/>
    <n v="29"/>
    <x v="4"/>
    <s v="789 29th Street"/>
    <x v="3"/>
    <x v="3"/>
    <n v="99999"/>
    <s v="USA"/>
    <x v="3"/>
    <x v="0"/>
    <d v="2014-08-31T00:00:00"/>
    <s v="Shipping Company B"/>
    <s v="Soo Jung Lee"/>
    <s v="789 29th Street"/>
    <x v="3"/>
    <x v="3"/>
    <n v="99999"/>
    <x v="0"/>
    <x v="0"/>
    <x v="0"/>
    <x v="0"/>
    <n v="14"/>
    <n v="42"/>
    <x v="194"/>
    <n v="59.388000000000005"/>
  </r>
  <r>
    <n v="1246"/>
    <x v="92"/>
    <n v="6"/>
    <x v="6"/>
    <s v="123 6th Street"/>
    <x v="5"/>
    <x v="5"/>
    <n v="99999"/>
    <s v="USA"/>
    <x v="4"/>
    <x v="2"/>
    <n v="41859"/>
    <s v="Shipping Company C"/>
    <s v="Francisco Pérez-Olaeta"/>
    <s v="123 6th Street"/>
    <x v="5"/>
    <x v="5"/>
    <n v="99999"/>
    <x v="0"/>
    <x v="0"/>
    <x v="7"/>
    <x v="3"/>
    <n v="12.75"/>
    <n v="72"/>
    <x v="195"/>
    <n v="89.046000000000006"/>
  </r>
  <r>
    <n v="1248"/>
    <x v="96"/>
    <n v="4"/>
    <x v="1"/>
    <s v="123 4th Street"/>
    <x v="1"/>
    <x v="1"/>
    <n v="99999"/>
    <s v="USA"/>
    <x v="1"/>
    <x v="1"/>
    <n v="41857"/>
    <s v="Shipping Company A"/>
    <s v="Christina Lee"/>
    <s v="123 4th Street"/>
    <x v="1"/>
    <x v="1"/>
    <n v="99999"/>
    <x v="0"/>
    <x v="1"/>
    <x v="23"/>
    <x v="6"/>
    <n v="81"/>
    <n v="32"/>
    <x v="196"/>
    <n v="251.42399999999998"/>
  </r>
  <r>
    <n v="1249"/>
    <x v="96"/>
    <n v="4"/>
    <x v="1"/>
    <s v="123 4th Street"/>
    <x v="1"/>
    <x v="1"/>
    <n v="99999"/>
    <s v="USA"/>
    <x v="1"/>
    <x v="1"/>
    <n v="41857"/>
    <s v="Shipping Company A"/>
    <s v="Christina Lee"/>
    <s v="123 4th Street"/>
    <x v="1"/>
    <x v="1"/>
    <n v="99999"/>
    <x v="0"/>
    <x v="1"/>
    <x v="24"/>
    <x v="14"/>
    <n v="7"/>
    <n v="76"/>
    <x v="197"/>
    <n v="53.732000000000006"/>
  </r>
  <r>
    <n v="1250"/>
    <x v="97"/>
    <n v="10"/>
    <x v="8"/>
    <s v="123 10th Street"/>
    <x v="7"/>
    <x v="7"/>
    <n v="99999"/>
    <s v="USA"/>
    <x v="6"/>
    <x v="1"/>
    <n v="41894"/>
    <s v="Shipping Company A"/>
    <s v="Roland Wacker"/>
    <s v="123 10th Street"/>
    <x v="7"/>
    <x v="7"/>
    <n v="99999"/>
    <x v="0"/>
    <x v="3"/>
    <x v="6"/>
    <x v="2"/>
    <n v="9.1999999999999993"/>
    <n v="83"/>
    <x v="198"/>
    <n v="74.832799999999992"/>
  </r>
  <r>
    <n v="1251"/>
    <x v="98"/>
    <n v="11"/>
    <x v="10"/>
    <s v="123 11th Street"/>
    <x v="9"/>
    <x v="9"/>
    <n v="99999"/>
    <s v="USA"/>
    <x v="5"/>
    <x v="3"/>
    <m/>
    <s v="Shipping Company C"/>
    <s v="Peter Krschne"/>
    <s v="123 11th Street"/>
    <x v="9"/>
    <x v="9"/>
    <n v="99999"/>
    <x v="0"/>
    <x v="3"/>
    <x v="1"/>
    <x v="1"/>
    <n v="3.5"/>
    <n v="91"/>
    <x v="199"/>
    <n v="31.213000000000001"/>
  </r>
  <r>
    <n v="1252"/>
    <x v="98"/>
    <n v="11"/>
    <x v="10"/>
    <s v="123 11th Street"/>
    <x v="9"/>
    <x v="9"/>
    <n v="99999"/>
    <s v="USA"/>
    <x v="5"/>
    <x v="3"/>
    <m/>
    <s v="Shipping Company C"/>
    <s v="Peter Krschne"/>
    <s v="123 11th Street"/>
    <x v="9"/>
    <x v="9"/>
    <n v="99999"/>
    <x v="0"/>
    <x v="3"/>
    <x v="10"/>
    <x v="0"/>
    <n v="2.99"/>
    <n v="64"/>
    <x v="200"/>
    <n v="19.518720000000002"/>
  </r>
  <r>
    <n v="1253"/>
    <x v="99"/>
    <n v="1"/>
    <x v="11"/>
    <s v="123 1st Street"/>
    <x v="10"/>
    <x v="10"/>
    <n v="99999"/>
    <s v="USA"/>
    <x v="2"/>
    <x v="2"/>
    <m/>
    <m/>
    <s v="Anna Bedecs"/>
    <s v="123 1st Street"/>
    <x v="10"/>
    <x v="10"/>
    <n v="99999"/>
    <x v="0"/>
    <x v="3"/>
    <x v="4"/>
    <x v="0"/>
    <n v="18"/>
    <n v="58"/>
    <x v="137"/>
    <n v="103.35600000000001"/>
  </r>
  <r>
    <n v="1254"/>
    <x v="99"/>
    <n v="1"/>
    <x v="11"/>
    <s v="123 1st Street"/>
    <x v="10"/>
    <x v="10"/>
    <n v="99999"/>
    <s v="USA"/>
    <x v="2"/>
    <x v="2"/>
    <m/>
    <m/>
    <s v="Anna Bedecs"/>
    <s v="123 1st Street"/>
    <x v="10"/>
    <x v="10"/>
    <n v="99999"/>
    <x v="0"/>
    <x v="3"/>
    <x v="5"/>
    <x v="0"/>
    <n v="46"/>
    <n v="97"/>
    <x v="201"/>
    <n v="464.04800000000006"/>
  </r>
  <r>
    <n v="1255"/>
    <x v="99"/>
    <n v="1"/>
    <x v="11"/>
    <s v="123 1st Street"/>
    <x v="10"/>
    <x v="10"/>
    <n v="99999"/>
    <s v="USA"/>
    <x v="2"/>
    <x v="2"/>
    <m/>
    <m/>
    <s v="Anna Bedecs"/>
    <s v="123 1st Street"/>
    <x v="10"/>
    <x v="10"/>
    <n v="99999"/>
    <x v="0"/>
    <x v="3"/>
    <x v="10"/>
    <x v="0"/>
    <n v="2.99"/>
    <n v="14"/>
    <x v="202"/>
    <n v="4.35344"/>
  </r>
  <r>
    <n v="1256"/>
    <x v="100"/>
    <n v="28"/>
    <x v="7"/>
    <s v="789 28th Street"/>
    <x v="6"/>
    <x v="6"/>
    <n v="99999"/>
    <s v="USA"/>
    <x v="5"/>
    <x v="3"/>
    <d v="2014-09-30T00:00:00"/>
    <s v="Shipping Company C"/>
    <s v="Amritansh Raghav"/>
    <s v="789 28th Street"/>
    <x v="6"/>
    <x v="6"/>
    <n v="99999"/>
    <x v="0"/>
    <x v="1"/>
    <x v="8"/>
    <x v="4"/>
    <n v="9.65"/>
    <n v="68"/>
    <x v="203"/>
    <n v="64.307600000000008"/>
  </r>
  <r>
    <n v="1257"/>
    <x v="100"/>
    <n v="28"/>
    <x v="7"/>
    <s v="789 28th Street"/>
    <x v="6"/>
    <x v="6"/>
    <n v="99999"/>
    <s v="USA"/>
    <x v="5"/>
    <x v="3"/>
    <n v="41912"/>
    <s v="Shipping Company C"/>
    <s v="Amritansh Raghav"/>
    <s v="789 28th Street"/>
    <x v="6"/>
    <x v="6"/>
    <n v="99999"/>
    <x v="0"/>
    <x v="1"/>
    <x v="13"/>
    <x v="8"/>
    <n v="18.399999999999999"/>
    <n v="32"/>
    <x v="204"/>
    <n v="58.879999999999995"/>
  </r>
  <r>
    <n v="1258"/>
    <x v="101"/>
    <n v="9"/>
    <x v="12"/>
    <s v="123 9th Street"/>
    <x v="11"/>
    <x v="11"/>
    <n v="99999"/>
    <s v="USA"/>
    <x v="7"/>
    <x v="0"/>
    <d v="2014-09-11T00:00:00"/>
    <s v="Shipping Company A"/>
    <s v="Sven Mortensen"/>
    <s v="123 9th Street"/>
    <x v="11"/>
    <x v="11"/>
    <n v="99999"/>
    <x v="0"/>
    <x v="0"/>
    <x v="14"/>
    <x v="9"/>
    <n v="19.5"/>
    <n v="48"/>
    <x v="205"/>
    <n v="94.536000000000016"/>
  </r>
  <r>
    <n v="1259"/>
    <x v="101"/>
    <n v="9"/>
    <x v="12"/>
    <s v="123 9th Street"/>
    <x v="11"/>
    <x v="11"/>
    <n v="99999"/>
    <s v="USA"/>
    <x v="7"/>
    <x v="0"/>
    <d v="2014-09-11T00:00:00"/>
    <s v="Shipping Company A"/>
    <s v="Sven Mortensen"/>
    <s v="123 9th Street"/>
    <x v="11"/>
    <x v="11"/>
    <n v="99999"/>
    <x v="0"/>
    <x v="0"/>
    <x v="15"/>
    <x v="10"/>
    <n v="34.799999999999997"/>
    <n v="57"/>
    <x v="206"/>
    <n v="194.39280000000002"/>
  </r>
  <r>
    <n v="1260"/>
    <x v="102"/>
    <n v="6"/>
    <x v="6"/>
    <s v="123 6th Street"/>
    <x v="5"/>
    <x v="5"/>
    <n v="99999"/>
    <s v="USA"/>
    <x v="4"/>
    <x v="2"/>
    <d v="2014-09-08T00:00:00"/>
    <s v="Shipping Company B"/>
    <s v="Francisco Pérez-Olaeta"/>
    <s v="123 6th Street"/>
    <x v="5"/>
    <x v="5"/>
    <n v="99999"/>
    <x v="0"/>
    <x v="1"/>
    <x v="0"/>
    <x v="0"/>
    <n v="14"/>
    <n v="67"/>
    <x v="207"/>
    <n v="98.490000000000009"/>
  </r>
  <r>
    <n v="1261"/>
    <x v="103"/>
    <n v="8"/>
    <x v="3"/>
    <s v="123 8th Street"/>
    <x v="2"/>
    <x v="2"/>
    <n v="99999"/>
    <s v="USA"/>
    <x v="2"/>
    <x v="2"/>
    <n v="41892"/>
    <s v="Shipping Company B"/>
    <s v="Elizabeth Andersen"/>
    <s v="123 8th Street"/>
    <x v="2"/>
    <x v="2"/>
    <n v="99999"/>
    <x v="0"/>
    <x v="0"/>
    <x v="9"/>
    <x v="5"/>
    <n v="40"/>
    <n v="48"/>
    <x v="208"/>
    <n v="188.16"/>
  </r>
  <r>
    <n v="1262"/>
    <x v="103"/>
    <n v="8"/>
    <x v="3"/>
    <s v="123 8th Street"/>
    <x v="2"/>
    <x v="2"/>
    <n v="99999"/>
    <s v="USA"/>
    <x v="2"/>
    <x v="2"/>
    <n v="41892"/>
    <s v="Shipping Company B"/>
    <s v="Elizabeth Andersen"/>
    <s v="123 8th Street"/>
    <x v="2"/>
    <x v="2"/>
    <n v="99999"/>
    <x v="0"/>
    <x v="0"/>
    <x v="6"/>
    <x v="2"/>
    <n v="9.1999999999999993"/>
    <n v="77"/>
    <x v="209"/>
    <n v="72.256799999999998"/>
  </r>
  <r>
    <n v="1263"/>
    <x v="104"/>
    <n v="25"/>
    <x v="13"/>
    <s v="789 25th Street"/>
    <x v="7"/>
    <x v="7"/>
    <n v="99999"/>
    <s v="USA"/>
    <x v="6"/>
    <x v="1"/>
    <n v="41909"/>
    <s v="Shipping Company A"/>
    <s v="John Rodman"/>
    <s v="789 25th Street"/>
    <x v="7"/>
    <x v="7"/>
    <n v="99999"/>
    <x v="0"/>
    <x v="2"/>
    <x v="21"/>
    <x v="2"/>
    <n v="10"/>
    <n v="94"/>
    <x v="210"/>
    <n v="97.76"/>
  </r>
  <r>
    <n v="1264"/>
    <x v="105"/>
    <n v="26"/>
    <x v="14"/>
    <s v="789 26th Street"/>
    <x v="9"/>
    <x v="9"/>
    <n v="99999"/>
    <s v="USA"/>
    <x v="5"/>
    <x v="3"/>
    <n v="41910"/>
    <s v="Shipping Company C"/>
    <s v="Run Liu"/>
    <s v="789 26th Street"/>
    <x v="9"/>
    <x v="9"/>
    <n v="99999"/>
    <x v="0"/>
    <x v="1"/>
    <x v="22"/>
    <x v="13"/>
    <n v="21.35"/>
    <n v="54"/>
    <x v="211"/>
    <n v="121.05450000000003"/>
  </r>
  <r>
    <n v="1265"/>
    <x v="105"/>
    <n v="26"/>
    <x v="14"/>
    <s v="789 26th Street"/>
    <x v="9"/>
    <x v="9"/>
    <n v="99999"/>
    <s v="USA"/>
    <x v="5"/>
    <x v="3"/>
    <n v="41910"/>
    <s v="Shipping Company C"/>
    <s v="Run Liu"/>
    <s v="789 26th Street"/>
    <x v="9"/>
    <x v="9"/>
    <n v="99999"/>
    <x v="0"/>
    <x v="1"/>
    <x v="8"/>
    <x v="4"/>
    <n v="9.65"/>
    <n v="43"/>
    <x v="84"/>
    <n v="40.250150000000005"/>
  </r>
  <r>
    <n v="1266"/>
    <x v="105"/>
    <n v="26"/>
    <x v="14"/>
    <s v="789 26th Street"/>
    <x v="9"/>
    <x v="9"/>
    <n v="99999"/>
    <s v="USA"/>
    <x v="5"/>
    <x v="3"/>
    <d v="2014-09-28T00:00:00"/>
    <s v="Shipping Company C"/>
    <s v="Run Liu"/>
    <s v="789 26th Street"/>
    <x v="9"/>
    <x v="9"/>
    <n v="99999"/>
    <x v="0"/>
    <x v="1"/>
    <x v="13"/>
    <x v="8"/>
    <n v="18.399999999999999"/>
    <n v="71"/>
    <x v="143"/>
    <n v="134.55919999999998"/>
  </r>
  <r>
    <n v="1267"/>
    <x v="106"/>
    <n v="29"/>
    <x v="4"/>
    <s v="789 29th Street"/>
    <x v="3"/>
    <x v="3"/>
    <n v="99999"/>
    <s v="USA"/>
    <x v="3"/>
    <x v="0"/>
    <d v="2014-10-01T00:00:00"/>
    <s v="Shipping Company B"/>
    <s v="Soo Jung Lee"/>
    <s v="789 29th Street"/>
    <x v="3"/>
    <x v="3"/>
    <n v="99999"/>
    <x v="0"/>
    <x v="0"/>
    <x v="0"/>
    <x v="0"/>
    <n v="14"/>
    <n v="50"/>
    <x v="212"/>
    <n v="67.2"/>
  </r>
  <r>
    <n v="1268"/>
    <x v="102"/>
    <n v="6"/>
    <x v="6"/>
    <s v="123 6th Street"/>
    <x v="5"/>
    <x v="5"/>
    <n v="99999"/>
    <s v="USA"/>
    <x v="4"/>
    <x v="2"/>
    <d v="2014-09-08T00:00:00"/>
    <s v="Shipping Company C"/>
    <s v="Francisco Pérez-Olaeta"/>
    <s v="123 6th Street"/>
    <x v="5"/>
    <x v="5"/>
    <n v="99999"/>
    <x v="0"/>
    <x v="0"/>
    <x v="7"/>
    <x v="3"/>
    <n v="12.75"/>
    <n v="96"/>
    <x v="146"/>
    <n v="119.952"/>
  </r>
  <r>
    <n v="1270"/>
    <x v="107"/>
    <n v="4"/>
    <x v="1"/>
    <s v="123 4th Street"/>
    <x v="1"/>
    <x v="1"/>
    <n v="99999"/>
    <s v="USA"/>
    <x v="1"/>
    <x v="1"/>
    <d v="2014-09-06T00:00:00"/>
    <s v="Shipping Company A"/>
    <s v="Christina Lee"/>
    <s v="123 4th Street"/>
    <x v="1"/>
    <x v="1"/>
    <n v="99999"/>
    <x v="0"/>
    <x v="1"/>
    <x v="23"/>
    <x v="6"/>
    <n v="81"/>
    <n v="54"/>
    <x v="213"/>
    <n v="437.40000000000003"/>
  </r>
  <r>
    <n v="1271"/>
    <x v="107"/>
    <n v="4"/>
    <x v="1"/>
    <s v="123 4th Street"/>
    <x v="1"/>
    <x v="1"/>
    <n v="99999"/>
    <s v="USA"/>
    <x v="1"/>
    <x v="1"/>
    <d v="2014-09-06T00:00:00"/>
    <s v="Shipping Company A"/>
    <s v="Christina Lee"/>
    <s v="123 4th Street"/>
    <x v="1"/>
    <x v="1"/>
    <n v="99999"/>
    <x v="0"/>
    <x v="1"/>
    <x v="24"/>
    <x v="14"/>
    <n v="7"/>
    <n v="39"/>
    <x v="214"/>
    <n v="27.3"/>
  </r>
  <r>
    <n v="1273"/>
    <x v="103"/>
    <n v="8"/>
    <x v="3"/>
    <s v="123 8th Street"/>
    <x v="2"/>
    <x v="2"/>
    <n v="99999"/>
    <s v="USA"/>
    <x v="2"/>
    <x v="2"/>
    <d v="2014-09-10T00:00:00"/>
    <s v="Shipping Company C"/>
    <s v="Elizabeth Andersen"/>
    <s v="123 8th Street"/>
    <x v="2"/>
    <x v="2"/>
    <n v="99999"/>
    <x v="0"/>
    <x v="1"/>
    <x v="15"/>
    <x v="10"/>
    <n v="34.799999999999997"/>
    <n v="63"/>
    <x v="59"/>
    <n v="230.202"/>
  </r>
  <r>
    <n v="1276"/>
    <x v="108"/>
    <n v="3"/>
    <x v="5"/>
    <s v="123 3rd Street"/>
    <x v="4"/>
    <x v="4"/>
    <n v="99999"/>
    <s v="USA"/>
    <x v="0"/>
    <x v="0"/>
    <d v="2014-09-05T00:00:00"/>
    <s v="Shipping Company B"/>
    <s v="Thomas Axerr"/>
    <s v="123 3rd Street"/>
    <x v="4"/>
    <x v="4"/>
    <n v="99999"/>
    <x v="0"/>
    <x v="2"/>
    <x v="16"/>
    <x v="7"/>
    <n v="10"/>
    <n v="71"/>
    <x v="215"/>
    <n v="73.13"/>
  </r>
  <r>
    <n v="1277"/>
    <x v="108"/>
    <n v="3"/>
    <x v="5"/>
    <s v="123 3rd Street"/>
    <x v="4"/>
    <x v="4"/>
    <n v="99999"/>
    <s v="USA"/>
    <x v="0"/>
    <x v="0"/>
    <d v="2014-09-05T00:00:00"/>
    <s v="Shipping Company B"/>
    <s v="Thomas Axerr"/>
    <s v="123 3rd Street"/>
    <x v="4"/>
    <x v="4"/>
    <n v="99999"/>
    <x v="0"/>
    <x v="2"/>
    <x v="9"/>
    <x v="5"/>
    <n v="40"/>
    <n v="88"/>
    <x v="216"/>
    <n v="366.08000000000004"/>
  </r>
  <r>
    <n v="1281"/>
    <x v="97"/>
    <n v="10"/>
    <x v="8"/>
    <s v="123 10th Street"/>
    <x v="7"/>
    <x v="7"/>
    <n v="99999"/>
    <s v="USA"/>
    <x v="6"/>
    <x v="1"/>
    <d v="2014-09-12T00:00:00"/>
    <s v="Shipping Company B"/>
    <s v="Roland Wacker"/>
    <s v="123 10th Street"/>
    <x v="7"/>
    <x v="7"/>
    <n v="99999"/>
    <x v="0"/>
    <x v="1"/>
    <x v="18"/>
    <x v="1"/>
    <n v="10"/>
    <n v="59"/>
    <x v="217"/>
    <n v="59.59"/>
  </r>
  <r>
    <n v="1282"/>
    <x v="109"/>
    <n v="6"/>
    <x v="6"/>
    <s v="123 6th Street"/>
    <x v="5"/>
    <x v="5"/>
    <n v="99999"/>
    <s v="USA"/>
    <x v="4"/>
    <x v="2"/>
    <d v="2014-10-08T00:00:00"/>
    <s v="Shipping Company B"/>
    <s v="Francisco Pérez-Olaeta"/>
    <s v="123 6th Street"/>
    <x v="5"/>
    <x v="5"/>
    <n v="99999"/>
    <x v="0"/>
    <x v="1"/>
    <x v="9"/>
    <x v="5"/>
    <n v="40"/>
    <n v="94"/>
    <x v="218"/>
    <n v="376"/>
  </r>
  <r>
    <n v="1283"/>
    <x v="110"/>
    <n v="28"/>
    <x v="7"/>
    <s v="789 28th Street"/>
    <x v="6"/>
    <x v="6"/>
    <n v="99999"/>
    <s v="USA"/>
    <x v="5"/>
    <x v="3"/>
    <d v="2014-10-30T00:00:00"/>
    <s v="Shipping Company C"/>
    <s v="Amritansh Raghav"/>
    <s v="789 28th Street"/>
    <x v="6"/>
    <x v="6"/>
    <n v="99999"/>
    <x v="0"/>
    <x v="0"/>
    <x v="5"/>
    <x v="0"/>
    <n v="46"/>
    <n v="86"/>
    <x v="177"/>
    <n v="379.77600000000001"/>
  </r>
  <r>
    <n v="1284"/>
    <x v="111"/>
    <n v="8"/>
    <x v="3"/>
    <s v="123 8th Street"/>
    <x v="2"/>
    <x v="2"/>
    <n v="99999"/>
    <s v="USA"/>
    <x v="2"/>
    <x v="2"/>
    <d v="2014-10-10T00:00:00"/>
    <s v="Shipping Company C"/>
    <s v="Elizabeth Andersen"/>
    <s v="123 8th Street"/>
    <x v="2"/>
    <x v="2"/>
    <n v="99999"/>
    <x v="0"/>
    <x v="0"/>
    <x v="7"/>
    <x v="3"/>
    <n v="12.75"/>
    <n v="61"/>
    <x v="219"/>
    <n v="78.552750000000003"/>
  </r>
  <r>
    <n v="1285"/>
    <x v="112"/>
    <n v="10"/>
    <x v="8"/>
    <s v="123 10th Street"/>
    <x v="7"/>
    <x v="7"/>
    <n v="99999"/>
    <s v="USA"/>
    <x v="6"/>
    <x v="1"/>
    <d v="2014-10-12T00:00:00"/>
    <s v="Shipping Company B"/>
    <s v="Roland Wacker"/>
    <s v="123 10th Street"/>
    <x v="7"/>
    <x v="7"/>
    <n v="99999"/>
    <x v="0"/>
    <x v="1"/>
    <x v="10"/>
    <x v="0"/>
    <n v="2.99"/>
    <n v="32"/>
    <x v="220"/>
    <n v="9.7593600000000009"/>
  </r>
  <r>
    <n v="1286"/>
    <x v="113"/>
    <n v="7"/>
    <x v="9"/>
    <s v="123 7th Street"/>
    <x v="8"/>
    <x v="8"/>
    <n v="99999"/>
    <s v="USA"/>
    <x v="2"/>
    <x v="2"/>
    <m/>
    <m/>
    <s v="Ming-Yang Xie"/>
    <s v="123 7th Street"/>
    <x v="8"/>
    <x v="8"/>
    <n v="99999"/>
    <x v="0"/>
    <x v="3"/>
    <x v="5"/>
    <x v="0"/>
    <n v="46"/>
    <n v="62"/>
    <x v="221"/>
    <n v="290.904"/>
  </r>
  <r>
    <n v="1287"/>
    <x v="112"/>
    <n v="10"/>
    <x v="8"/>
    <s v="123 10th Street"/>
    <x v="7"/>
    <x v="7"/>
    <n v="99999"/>
    <s v="USA"/>
    <x v="6"/>
    <x v="1"/>
    <d v="2014-10-12T00:00:00"/>
    <s v="Shipping Company A"/>
    <s v="Roland Wacker"/>
    <s v="123 10th Street"/>
    <x v="7"/>
    <x v="7"/>
    <n v="99999"/>
    <x v="0"/>
    <x v="3"/>
    <x v="11"/>
    <x v="6"/>
    <n v="25"/>
    <n v="60"/>
    <x v="222"/>
    <n v="154.5"/>
  </r>
  <r>
    <n v="1288"/>
    <x v="112"/>
    <n v="10"/>
    <x v="8"/>
    <s v="123 10th Street"/>
    <x v="7"/>
    <x v="7"/>
    <n v="99999"/>
    <s v="USA"/>
    <x v="6"/>
    <x v="1"/>
    <d v="2014-10-12T00:00:00"/>
    <s v="Shipping Company A"/>
    <s v="Roland Wacker"/>
    <s v="123 10th Street"/>
    <x v="7"/>
    <x v="7"/>
    <n v="99999"/>
    <x v="0"/>
    <x v="3"/>
    <x v="12"/>
    <x v="7"/>
    <n v="22"/>
    <n v="51"/>
    <x v="223"/>
    <n v="109.956"/>
  </r>
  <r>
    <n v="1289"/>
    <x v="112"/>
    <n v="10"/>
    <x v="8"/>
    <s v="123 10th Street"/>
    <x v="7"/>
    <x v="7"/>
    <n v="99999"/>
    <s v="USA"/>
    <x v="6"/>
    <x v="1"/>
    <d v="2014-10-12T00:00:00"/>
    <s v="Shipping Company A"/>
    <s v="Roland Wacker"/>
    <s v="123 10th Street"/>
    <x v="7"/>
    <x v="7"/>
    <n v="99999"/>
    <x v="0"/>
    <x v="3"/>
    <x v="6"/>
    <x v="2"/>
    <n v="9.1999999999999993"/>
    <n v="49"/>
    <x v="224"/>
    <n v="44.629199999999997"/>
  </r>
  <r>
    <n v="1290"/>
    <x v="114"/>
    <n v="11"/>
    <x v="10"/>
    <s v="123 11th Street"/>
    <x v="9"/>
    <x v="9"/>
    <n v="99999"/>
    <s v="USA"/>
    <x v="5"/>
    <x v="3"/>
    <m/>
    <s v="Shipping Company C"/>
    <s v="Peter Krschne"/>
    <s v="123 11th Street"/>
    <x v="9"/>
    <x v="9"/>
    <n v="99999"/>
    <x v="0"/>
    <x v="3"/>
    <x v="1"/>
    <x v="1"/>
    <n v="3.5"/>
    <n v="20"/>
    <x v="225"/>
    <n v="6.93"/>
  </r>
  <r>
    <n v="1291"/>
    <x v="114"/>
    <n v="11"/>
    <x v="10"/>
    <s v="123 11th Street"/>
    <x v="9"/>
    <x v="9"/>
    <n v="99999"/>
    <s v="USA"/>
    <x v="5"/>
    <x v="3"/>
    <m/>
    <s v="Shipping Company C"/>
    <s v="Peter Krschne"/>
    <s v="123 11th Street"/>
    <x v="9"/>
    <x v="9"/>
    <n v="99999"/>
    <x v="0"/>
    <x v="3"/>
    <x v="10"/>
    <x v="0"/>
    <n v="2.99"/>
    <n v="49"/>
    <x v="20"/>
    <n v="14.651000000000003"/>
  </r>
  <r>
    <n v="1292"/>
    <x v="115"/>
    <n v="1"/>
    <x v="11"/>
    <s v="123 1st Street"/>
    <x v="10"/>
    <x v="10"/>
    <n v="99999"/>
    <s v="USA"/>
    <x v="2"/>
    <x v="2"/>
    <m/>
    <m/>
    <s v="Anna Bedecs"/>
    <s v="123 1st Street"/>
    <x v="10"/>
    <x v="10"/>
    <n v="99999"/>
    <x v="0"/>
    <x v="3"/>
    <x v="4"/>
    <x v="0"/>
    <n v="18"/>
    <n v="22"/>
    <x v="226"/>
    <n v="38.015999999999998"/>
  </r>
  <r>
    <n v="1293"/>
    <x v="115"/>
    <n v="1"/>
    <x v="11"/>
    <s v="123 1st Street"/>
    <x v="10"/>
    <x v="10"/>
    <n v="99999"/>
    <s v="USA"/>
    <x v="2"/>
    <x v="2"/>
    <m/>
    <m/>
    <s v="Anna Bedecs"/>
    <s v="123 1st Street"/>
    <x v="10"/>
    <x v="10"/>
    <n v="99999"/>
    <x v="0"/>
    <x v="3"/>
    <x v="5"/>
    <x v="0"/>
    <n v="46"/>
    <n v="73"/>
    <x v="227"/>
    <n v="339.15800000000002"/>
  </r>
  <r>
    <n v="1294"/>
    <x v="115"/>
    <n v="1"/>
    <x v="11"/>
    <s v="123 1st Street"/>
    <x v="10"/>
    <x v="10"/>
    <n v="99999"/>
    <s v="USA"/>
    <x v="2"/>
    <x v="2"/>
    <m/>
    <m/>
    <s v="Anna Bedecs"/>
    <s v="123 1st Street"/>
    <x v="10"/>
    <x v="10"/>
    <n v="99999"/>
    <x v="0"/>
    <x v="3"/>
    <x v="10"/>
    <x v="0"/>
    <n v="2.99"/>
    <n v="85"/>
    <x v="228"/>
    <n v="24.652550000000002"/>
  </r>
  <r>
    <n v="1295"/>
    <x v="110"/>
    <n v="28"/>
    <x v="7"/>
    <s v="789 28th Street"/>
    <x v="6"/>
    <x v="6"/>
    <n v="99999"/>
    <s v="USA"/>
    <x v="5"/>
    <x v="3"/>
    <d v="2014-10-30T00:00:00"/>
    <s v="Shipping Company C"/>
    <s v="Amritansh Raghav"/>
    <s v="789 28th Street"/>
    <x v="6"/>
    <x v="6"/>
    <n v="99999"/>
    <x v="0"/>
    <x v="1"/>
    <x v="8"/>
    <x v="4"/>
    <n v="9.65"/>
    <n v="44"/>
    <x v="229"/>
    <n v="44.158400000000007"/>
  </r>
  <r>
    <n v="1296"/>
    <x v="110"/>
    <n v="28"/>
    <x v="7"/>
    <s v="789 28th Street"/>
    <x v="6"/>
    <x v="6"/>
    <n v="99999"/>
    <s v="USA"/>
    <x v="5"/>
    <x v="3"/>
    <d v="2014-10-30T00:00:00"/>
    <s v="Shipping Company C"/>
    <s v="Amritansh Raghav"/>
    <s v="789 28th Street"/>
    <x v="6"/>
    <x v="6"/>
    <n v="99999"/>
    <x v="0"/>
    <x v="1"/>
    <x v="13"/>
    <x v="8"/>
    <n v="18.399999999999999"/>
    <n v="24"/>
    <x v="230"/>
    <n v="42.835199999999993"/>
  </r>
  <r>
    <n v="1297"/>
    <x v="116"/>
    <n v="9"/>
    <x v="12"/>
    <s v="123 9th Street"/>
    <x v="11"/>
    <x v="11"/>
    <n v="99999"/>
    <s v="USA"/>
    <x v="7"/>
    <x v="0"/>
    <d v="2014-10-11T00:00:00"/>
    <s v="Shipping Company A"/>
    <s v="Sven Mortensen"/>
    <s v="123 9th Street"/>
    <x v="11"/>
    <x v="11"/>
    <n v="99999"/>
    <x v="0"/>
    <x v="0"/>
    <x v="14"/>
    <x v="9"/>
    <n v="19.5"/>
    <n v="64"/>
    <x v="231"/>
    <n v="119.80800000000001"/>
  </r>
  <r>
    <n v="1298"/>
    <x v="116"/>
    <n v="9"/>
    <x v="12"/>
    <s v="123 9th Street"/>
    <x v="11"/>
    <x v="11"/>
    <n v="99999"/>
    <s v="USA"/>
    <x v="7"/>
    <x v="0"/>
    <d v="2014-10-11T00:00:00"/>
    <s v="Shipping Company A"/>
    <s v="Sven Mortensen"/>
    <s v="123 9th Street"/>
    <x v="11"/>
    <x v="11"/>
    <n v="99999"/>
    <x v="0"/>
    <x v="0"/>
    <x v="15"/>
    <x v="10"/>
    <n v="34.799999999999997"/>
    <n v="70"/>
    <x v="232"/>
    <n v="246.03600000000003"/>
  </r>
  <r>
    <n v="1299"/>
    <x v="109"/>
    <n v="6"/>
    <x v="6"/>
    <s v="123 6th Street"/>
    <x v="5"/>
    <x v="5"/>
    <n v="99999"/>
    <s v="USA"/>
    <x v="4"/>
    <x v="2"/>
    <d v="2014-10-08T00:00:00"/>
    <s v="Shipping Company B"/>
    <s v="Francisco Pérez-Olaeta"/>
    <s v="123 6th Street"/>
    <x v="5"/>
    <x v="5"/>
    <n v="99999"/>
    <x v="0"/>
    <x v="1"/>
    <x v="0"/>
    <x v="0"/>
    <n v="14"/>
    <n v="98"/>
    <x v="233"/>
    <n v="138.57200000000003"/>
  </r>
  <r>
    <n v="1300"/>
    <x v="111"/>
    <n v="8"/>
    <x v="3"/>
    <s v="123 8th Street"/>
    <x v="2"/>
    <x v="2"/>
    <n v="99999"/>
    <s v="USA"/>
    <x v="2"/>
    <x v="2"/>
    <d v="2014-10-10T00:00:00"/>
    <s v="Shipping Company B"/>
    <s v="Elizabeth Andersen"/>
    <s v="123 8th Street"/>
    <x v="2"/>
    <x v="2"/>
    <n v="99999"/>
    <x v="0"/>
    <x v="0"/>
    <x v="9"/>
    <x v="5"/>
    <n v="40"/>
    <n v="48"/>
    <x v="208"/>
    <n v="188.16"/>
  </r>
  <r>
    <n v="1301"/>
    <x v="111"/>
    <n v="8"/>
    <x v="3"/>
    <s v="123 8th Street"/>
    <x v="2"/>
    <x v="2"/>
    <n v="99999"/>
    <s v="USA"/>
    <x v="2"/>
    <x v="2"/>
    <d v="2014-10-10T00:00:00"/>
    <s v="Shipping Company B"/>
    <s v="Elizabeth Andersen"/>
    <s v="123 8th Street"/>
    <x v="2"/>
    <x v="2"/>
    <n v="99999"/>
    <x v="0"/>
    <x v="0"/>
    <x v="6"/>
    <x v="2"/>
    <n v="9.1999999999999993"/>
    <n v="100"/>
    <x v="234"/>
    <n v="91.08"/>
  </r>
  <r>
    <n v="1302"/>
    <x v="117"/>
    <n v="25"/>
    <x v="13"/>
    <s v="789 25th Street"/>
    <x v="7"/>
    <x v="7"/>
    <n v="99999"/>
    <s v="USA"/>
    <x v="6"/>
    <x v="1"/>
    <d v="2014-10-27T00:00:00"/>
    <s v="Shipping Company A"/>
    <s v="John Rodman"/>
    <s v="789 25th Street"/>
    <x v="7"/>
    <x v="7"/>
    <n v="99999"/>
    <x v="0"/>
    <x v="2"/>
    <x v="21"/>
    <x v="2"/>
    <n v="10"/>
    <n v="90"/>
    <x v="235"/>
    <n v="87.3"/>
  </r>
  <r>
    <n v="1303"/>
    <x v="118"/>
    <n v="26"/>
    <x v="14"/>
    <s v="789 26th Street"/>
    <x v="9"/>
    <x v="9"/>
    <n v="99999"/>
    <s v="USA"/>
    <x v="5"/>
    <x v="3"/>
    <d v="2014-10-28T00:00:00"/>
    <s v="Shipping Company C"/>
    <s v="Run Liu"/>
    <s v="789 26th Street"/>
    <x v="9"/>
    <x v="9"/>
    <n v="99999"/>
    <x v="0"/>
    <x v="1"/>
    <x v="22"/>
    <x v="13"/>
    <n v="21.35"/>
    <n v="49"/>
    <x v="236"/>
    <n v="102.5227"/>
  </r>
  <r>
    <n v="1304"/>
    <x v="118"/>
    <n v="26"/>
    <x v="14"/>
    <s v="789 26th Street"/>
    <x v="9"/>
    <x v="9"/>
    <n v="99999"/>
    <s v="USA"/>
    <x v="5"/>
    <x v="3"/>
    <d v="2014-10-28T00:00:00"/>
    <s v="Shipping Company C"/>
    <s v="Run Liu"/>
    <s v="789 26th Street"/>
    <x v="9"/>
    <x v="9"/>
    <n v="99999"/>
    <x v="0"/>
    <x v="1"/>
    <x v="8"/>
    <x v="4"/>
    <n v="9.65"/>
    <n v="71"/>
    <x v="237"/>
    <n v="65.7744"/>
  </r>
  <r>
    <n v="1305"/>
    <x v="118"/>
    <n v="26"/>
    <x v="14"/>
    <s v="789 26th Street"/>
    <x v="9"/>
    <x v="9"/>
    <n v="99999"/>
    <s v="USA"/>
    <x v="5"/>
    <x v="3"/>
    <d v="2014-10-28T00:00:00"/>
    <s v="Shipping Company C"/>
    <s v="Run Liu"/>
    <s v="789 26th Street"/>
    <x v="9"/>
    <x v="9"/>
    <n v="99999"/>
    <x v="0"/>
    <x v="1"/>
    <x v="13"/>
    <x v="8"/>
    <n v="18.399999999999999"/>
    <n v="10"/>
    <x v="238"/>
    <n v="19.136000000000003"/>
  </r>
  <r>
    <n v="1306"/>
    <x v="119"/>
    <n v="29"/>
    <x v="4"/>
    <s v="789 29th Street"/>
    <x v="3"/>
    <x v="3"/>
    <n v="99999"/>
    <s v="USA"/>
    <x v="3"/>
    <x v="0"/>
    <d v="2014-10-31T00:00:00"/>
    <s v="Shipping Company B"/>
    <s v="Soo Jung Lee"/>
    <s v="789 29th Street"/>
    <x v="3"/>
    <x v="3"/>
    <n v="99999"/>
    <x v="0"/>
    <x v="0"/>
    <x v="0"/>
    <x v="0"/>
    <n v="14"/>
    <n v="78"/>
    <x v="239"/>
    <n v="112.476"/>
  </r>
  <r>
    <n v="1307"/>
    <x v="109"/>
    <n v="6"/>
    <x v="6"/>
    <s v="123 6th Street"/>
    <x v="5"/>
    <x v="5"/>
    <n v="99999"/>
    <s v="USA"/>
    <x v="4"/>
    <x v="2"/>
    <d v="2014-10-08T00:00:00"/>
    <s v="Shipping Company C"/>
    <s v="Francisco Pérez-Olaeta"/>
    <s v="123 6th Street"/>
    <x v="5"/>
    <x v="5"/>
    <n v="99999"/>
    <x v="0"/>
    <x v="0"/>
    <x v="7"/>
    <x v="3"/>
    <n v="12.75"/>
    <n v="44"/>
    <x v="134"/>
    <n v="53.856000000000002"/>
  </r>
  <r>
    <n v="1309"/>
    <x v="120"/>
    <n v="4"/>
    <x v="1"/>
    <s v="123 4th Street"/>
    <x v="1"/>
    <x v="1"/>
    <n v="99999"/>
    <s v="USA"/>
    <x v="1"/>
    <x v="1"/>
    <d v="2014-10-06T00:00:00"/>
    <s v="Shipping Company A"/>
    <s v="Christina Lee"/>
    <s v="123 4th Street"/>
    <x v="1"/>
    <x v="1"/>
    <n v="99999"/>
    <x v="0"/>
    <x v="1"/>
    <x v="23"/>
    <x v="6"/>
    <n v="81"/>
    <n v="82"/>
    <x v="240"/>
    <n v="697.41000000000008"/>
  </r>
  <r>
    <n v="1310"/>
    <x v="120"/>
    <n v="4"/>
    <x v="1"/>
    <s v="123 4th Street"/>
    <x v="1"/>
    <x v="1"/>
    <n v="99999"/>
    <s v="USA"/>
    <x v="1"/>
    <x v="1"/>
    <d v="2014-10-06T00:00:00"/>
    <s v="Shipping Company A"/>
    <s v="Christina Lee"/>
    <s v="123 4th Street"/>
    <x v="1"/>
    <x v="1"/>
    <n v="99999"/>
    <x v="0"/>
    <x v="1"/>
    <x v="24"/>
    <x v="14"/>
    <n v="7"/>
    <n v="29"/>
    <x v="241"/>
    <n v="20.3"/>
  </r>
  <r>
    <n v="1312"/>
    <x v="111"/>
    <n v="8"/>
    <x v="3"/>
    <s v="123 8th Street"/>
    <x v="2"/>
    <x v="2"/>
    <n v="99999"/>
    <s v="USA"/>
    <x v="2"/>
    <x v="2"/>
    <d v="2014-10-10T00:00:00"/>
    <s v="Shipping Company C"/>
    <s v="Elizabeth Andersen"/>
    <s v="123 8th Street"/>
    <x v="2"/>
    <x v="2"/>
    <n v="99999"/>
    <x v="0"/>
    <x v="1"/>
    <x v="15"/>
    <x v="10"/>
    <n v="34.799999999999997"/>
    <n v="93"/>
    <x v="242"/>
    <n v="313.93079999999998"/>
  </r>
  <r>
    <n v="1315"/>
    <x v="121"/>
    <n v="3"/>
    <x v="5"/>
    <s v="123 3rd Street"/>
    <x v="4"/>
    <x v="4"/>
    <n v="99999"/>
    <s v="USA"/>
    <x v="0"/>
    <x v="0"/>
    <d v="2014-10-05T00:00:00"/>
    <s v="Shipping Company B"/>
    <s v="Thomas Axerr"/>
    <s v="123 3rd Street"/>
    <x v="4"/>
    <x v="4"/>
    <n v="99999"/>
    <x v="0"/>
    <x v="2"/>
    <x v="16"/>
    <x v="7"/>
    <n v="10"/>
    <n v="11"/>
    <x v="243"/>
    <n v="11.440000000000001"/>
  </r>
  <r>
    <n v="1316"/>
    <x v="121"/>
    <n v="3"/>
    <x v="5"/>
    <s v="123 3rd Street"/>
    <x v="4"/>
    <x v="4"/>
    <n v="99999"/>
    <s v="USA"/>
    <x v="0"/>
    <x v="0"/>
    <d v="2014-10-05T00:00:00"/>
    <s v="Shipping Company B"/>
    <s v="Thomas Axerr"/>
    <s v="123 3rd Street"/>
    <x v="4"/>
    <x v="4"/>
    <n v="99999"/>
    <x v="0"/>
    <x v="2"/>
    <x v="9"/>
    <x v="5"/>
    <n v="40"/>
    <n v="91"/>
    <x v="157"/>
    <n v="364"/>
  </r>
  <r>
    <n v="1320"/>
    <x v="112"/>
    <n v="10"/>
    <x v="8"/>
    <s v="123 10th Street"/>
    <x v="7"/>
    <x v="7"/>
    <n v="99999"/>
    <s v="USA"/>
    <x v="6"/>
    <x v="1"/>
    <d v="2014-10-12T00:00:00"/>
    <s v="Shipping Company B"/>
    <s v="Roland Wacker"/>
    <s v="123 10th Street"/>
    <x v="7"/>
    <x v="7"/>
    <n v="99999"/>
    <x v="0"/>
    <x v="1"/>
    <x v="18"/>
    <x v="1"/>
    <n v="10"/>
    <n v="12"/>
    <x v="244"/>
    <n v="12.36"/>
  </r>
  <r>
    <n v="1322"/>
    <x v="112"/>
    <n v="10"/>
    <x v="8"/>
    <s v="123 10th Street"/>
    <x v="7"/>
    <x v="7"/>
    <n v="99999"/>
    <s v="USA"/>
    <x v="6"/>
    <x v="1"/>
    <m/>
    <s v="Shipping Company A"/>
    <s v="Roland Wacker"/>
    <s v="123 10th Street"/>
    <x v="7"/>
    <x v="7"/>
    <n v="99999"/>
    <x v="0"/>
    <x v="3"/>
    <x v="1"/>
    <x v="1"/>
    <n v="3.5"/>
    <n v="78"/>
    <x v="214"/>
    <n v="27.3"/>
  </r>
  <r>
    <n v="1323"/>
    <x v="114"/>
    <n v="11"/>
    <x v="10"/>
    <s v="123 11th Street"/>
    <x v="9"/>
    <x v="9"/>
    <n v="99999"/>
    <s v="USA"/>
    <x v="5"/>
    <x v="3"/>
    <m/>
    <s v="Shipping Company C"/>
    <s v="Peter Krschne"/>
    <s v="123 11th Street"/>
    <x v="9"/>
    <x v="9"/>
    <n v="99999"/>
    <x v="0"/>
    <x v="3"/>
    <x v="9"/>
    <x v="5"/>
    <n v="40"/>
    <n v="60"/>
    <x v="245"/>
    <n v="228"/>
  </r>
  <r>
    <n v="1324"/>
    <x v="115"/>
    <n v="1"/>
    <x v="11"/>
    <s v="123 1st Street"/>
    <x v="10"/>
    <x v="10"/>
    <n v="99999"/>
    <s v="USA"/>
    <x v="2"/>
    <x v="2"/>
    <m/>
    <s v="Shipping Company C"/>
    <s v="Anna Bedecs"/>
    <s v="123 1st Street"/>
    <x v="10"/>
    <x v="10"/>
    <n v="99999"/>
    <x v="0"/>
    <x v="3"/>
    <x v="13"/>
    <x v="8"/>
    <n v="18.399999999999999"/>
    <n v="23"/>
    <x v="246"/>
    <n v="43.589600000000004"/>
  </r>
  <r>
    <n v="1325"/>
    <x v="110"/>
    <n v="28"/>
    <x v="7"/>
    <s v="789 28th Street"/>
    <x v="6"/>
    <x v="6"/>
    <n v="99999"/>
    <s v="USA"/>
    <x v="5"/>
    <x v="3"/>
    <d v="2014-10-30T00:00:00"/>
    <s v="Shipping Company C"/>
    <s v="Amritansh Raghav"/>
    <s v="789 28th Street"/>
    <x v="6"/>
    <x v="6"/>
    <n v="99999"/>
    <x v="0"/>
    <x v="1"/>
    <x v="5"/>
    <x v="0"/>
    <n v="46"/>
    <n v="34"/>
    <x v="247"/>
    <n v="157.964"/>
  </r>
  <r>
    <n v="1326"/>
    <x v="116"/>
    <n v="9"/>
    <x v="12"/>
    <s v="123 9th Street"/>
    <x v="11"/>
    <x v="11"/>
    <n v="99999"/>
    <s v="USA"/>
    <x v="7"/>
    <x v="0"/>
    <d v="2014-10-11T00:00:00"/>
    <s v="Shipping Company A"/>
    <s v="Sven Mortensen"/>
    <s v="123 9th Street"/>
    <x v="11"/>
    <x v="11"/>
    <n v="99999"/>
    <x v="0"/>
    <x v="0"/>
    <x v="8"/>
    <x v="4"/>
    <n v="9.65"/>
    <n v="89"/>
    <x v="248"/>
    <n v="86.743850000000009"/>
  </r>
  <r>
    <n v="1327"/>
    <x v="109"/>
    <n v="6"/>
    <x v="6"/>
    <s v="123 6th Street"/>
    <x v="5"/>
    <x v="5"/>
    <n v="99999"/>
    <s v="USA"/>
    <x v="4"/>
    <x v="2"/>
    <d v="2014-10-08T00:00:00"/>
    <s v="Shipping Company B"/>
    <s v="Francisco Pérez-Olaeta"/>
    <s v="123 6th Street"/>
    <x v="5"/>
    <x v="5"/>
    <n v="99999"/>
    <x v="0"/>
    <x v="1"/>
    <x v="7"/>
    <x v="3"/>
    <n v="12.75"/>
    <n v="82"/>
    <x v="249"/>
    <n v="103.50450000000001"/>
  </r>
  <r>
    <n v="1328"/>
    <x v="111"/>
    <n v="8"/>
    <x v="3"/>
    <s v="123 8th Street"/>
    <x v="2"/>
    <x v="2"/>
    <n v="99999"/>
    <s v="USA"/>
    <x v="2"/>
    <x v="2"/>
    <d v="2014-10-10T00:00:00"/>
    <s v="Shipping Company B"/>
    <s v="Elizabeth Andersen"/>
    <s v="123 8th Street"/>
    <x v="2"/>
    <x v="2"/>
    <n v="99999"/>
    <x v="0"/>
    <x v="0"/>
    <x v="7"/>
    <x v="3"/>
    <n v="12.75"/>
    <n v="43"/>
    <x v="250"/>
    <n v="52.631999999999998"/>
  </r>
  <r>
    <n v="1329"/>
    <x v="122"/>
    <n v="10"/>
    <x v="8"/>
    <s v="123 10th Street"/>
    <x v="7"/>
    <x v="7"/>
    <n v="99999"/>
    <s v="USA"/>
    <x v="6"/>
    <x v="1"/>
    <d v="2014-11-12T00:00:00"/>
    <s v="Shipping Company A"/>
    <s v="Roland Wacker"/>
    <s v="123 10th Street"/>
    <x v="7"/>
    <x v="7"/>
    <n v="99999"/>
    <x v="0"/>
    <x v="3"/>
    <x v="12"/>
    <x v="7"/>
    <n v="22"/>
    <n v="96"/>
    <x v="251"/>
    <n v="221.76000000000002"/>
  </r>
  <r>
    <n v="1330"/>
    <x v="122"/>
    <n v="10"/>
    <x v="8"/>
    <s v="123 10th Street"/>
    <x v="7"/>
    <x v="7"/>
    <n v="99999"/>
    <s v="USA"/>
    <x v="6"/>
    <x v="1"/>
    <d v="2014-11-12T00:00:00"/>
    <s v="Shipping Company A"/>
    <s v="Roland Wacker"/>
    <s v="123 10th Street"/>
    <x v="7"/>
    <x v="7"/>
    <n v="99999"/>
    <x v="0"/>
    <x v="3"/>
    <x v="6"/>
    <x v="2"/>
    <n v="9.1999999999999993"/>
    <n v="34"/>
    <x v="252"/>
    <n v="31.279999999999998"/>
  </r>
  <r>
    <n v="1331"/>
    <x v="123"/>
    <n v="11"/>
    <x v="10"/>
    <s v="123 11th Street"/>
    <x v="9"/>
    <x v="9"/>
    <n v="99999"/>
    <s v="USA"/>
    <x v="5"/>
    <x v="3"/>
    <m/>
    <s v="Shipping Company C"/>
    <s v="Peter Krschne"/>
    <s v="123 11th Street"/>
    <x v="9"/>
    <x v="9"/>
    <n v="99999"/>
    <x v="0"/>
    <x v="3"/>
    <x v="1"/>
    <x v="1"/>
    <n v="3.5"/>
    <n v="42"/>
    <x v="253"/>
    <n v="15.141000000000002"/>
  </r>
  <r>
    <n v="1332"/>
    <x v="123"/>
    <n v="11"/>
    <x v="10"/>
    <s v="123 11th Street"/>
    <x v="9"/>
    <x v="9"/>
    <n v="99999"/>
    <s v="USA"/>
    <x v="5"/>
    <x v="3"/>
    <m/>
    <s v="Shipping Company C"/>
    <s v="Peter Krschne"/>
    <s v="123 11th Street"/>
    <x v="9"/>
    <x v="9"/>
    <n v="99999"/>
    <x v="0"/>
    <x v="3"/>
    <x v="10"/>
    <x v="0"/>
    <n v="2.99"/>
    <n v="100"/>
    <x v="254"/>
    <n v="30.498000000000001"/>
  </r>
  <r>
    <n v="1333"/>
    <x v="124"/>
    <n v="1"/>
    <x v="11"/>
    <s v="123 1st Street"/>
    <x v="10"/>
    <x v="10"/>
    <n v="99999"/>
    <s v="USA"/>
    <x v="2"/>
    <x v="2"/>
    <m/>
    <m/>
    <s v="Anna Bedecs"/>
    <s v="123 1st Street"/>
    <x v="10"/>
    <x v="10"/>
    <n v="99999"/>
    <x v="0"/>
    <x v="3"/>
    <x v="4"/>
    <x v="0"/>
    <n v="18"/>
    <n v="42"/>
    <x v="21"/>
    <n v="76.356000000000009"/>
  </r>
  <r>
    <n v="1334"/>
    <x v="124"/>
    <n v="1"/>
    <x v="11"/>
    <s v="123 1st Street"/>
    <x v="10"/>
    <x v="10"/>
    <n v="99999"/>
    <s v="USA"/>
    <x v="2"/>
    <x v="2"/>
    <m/>
    <m/>
    <s v="Anna Bedecs"/>
    <s v="123 1st Street"/>
    <x v="10"/>
    <x v="10"/>
    <n v="99999"/>
    <x v="0"/>
    <x v="3"/>
    <x v="5"/>
    <x v="0"/>
    <n v="46"/>
    <n v="16"/>
    <x v="129"/>
    <n v="70.656000000000006"/>
  </r>
  <r>
    <n v="1335"/>
    <x v="124"/>
    <n v="1"/>
    <x v="11"/>
    <s v="123 1st Street"/>
    <x v="10"/>
    <x v="10"/>
    <n v="99999"/>
    <s v="USA"/>
    <x v="2"/>
    <x v="2"/>
    <m/>
    <m/>
    <s v="Anna Bedecs"/>
    <s v="123 1st Street"/>
    <x v="10"/>
    <x v="10"/>
    <n v="99999"/>
    <x v="0"/>
    <x v="3"/>
    <x v="10"/>
    <x v="0"/>
    <n v="2.99"/>
    <n v="22"/>
    <x v="255"/>
    <n v="6.3806599999999998"/>
  </r>
  <r>
    <n v="1336"/>
    <x v="125"/>
    <n v="28"/>
    <x v="7"/>
    <s v="789 28th Street"/>
    <x v="6"/>
    <x v="6"/>
    <n v="99999"/>
    <s v="USA"/>
    <x v="5"/>
    <x v="3"/>
    <d v="2014-11-30T00:00:00"/>
    <s v="Shipping Company C"/>
    <s v="Amritansh Raghav"/>
    <s v="789 28th Street"/>
    <x v="6"/>
    <x v="6"/>
    <n v="99999"/>
    <x v="0"/>
    <x v="1"/>
    <x v="8"/>
    <x v="4"/>
    <n v="9.65"/>
    <n v="46"/>
    <x v="256"/>
    <n v="45.721700000000006"/>
  </r>
  <r>
    <n v="1337"/>
    <x v="125"/>
    <n v="28"/>
    <x v="7"/>
    <s v="789 28th Street"/>
    <x v="6"/>
    <x v="6"/>
    <n v="99999"/>
    <s v="USA"/>
    <x v="5"/>
    <x v="3"/>
    <n v="41973"/>
    <s v="Shipping Company C"/>
    <s v="Amritansh Raghav"/>
    <s v="789 28th Street"/>
    <x v="6"/>
    <x v="6"/>
    <n v="99999"/>
    <x v="0"/>
    <x v="1"/>
    <x v="13"/>
    <x v="8"/>
    <n v="18.399999999999999"/>
    <n v="100"/>
    <x v="257"/>
    <n v="184"/>
  </r>
  <r>
    <n v="1338"/>
    <x v="126"/>
    <n v="9"/>
    <x v="12"/>
    <s v="123 9th Street"/>
    <x v="11"/>
    <x v="11"/>
    <n v="99999"/>
    <s v="USA"/>
    <x v="7"/>
    <x v="0"/>
    <n v="41954"/>
    <s v="Shipping Company A"/>
    <s v="Sven Mortensen"/>
    <s v="123 9th Street"/>
    <x v="11"/>
    <x v="11"/>
    <n v="99999"/>
    <x v="0"/>
    <x v="0"/>
    <x v="14"/>
    <x v="9"/>
    <n v="19.5"/>
    <n v="87"/>
    <x v="258"/>
    <n v="174.73950000000002"/>
  </r>
  <r>
    <n v="1339"/>
    <x v="126"/>
    <n v="9"/>
    <x v="12"/>
    <s v="123 9th Street"/>
    <x v="11"/>
    <x v="11"/>
    <n v="99999"/>
    <s v="USA"/>
    <x v="7"/>
    <x v="0"/>
    <n v="41954"/>
    <s v="Shipping Company A"/>
    <s v="Sven Mortensen"/>
    <s v="123 9th Street"/>
    <x v="11"/>
    <x v="11"/>
    <n v="99999"/>
    <x v="0"/>
    <x v="0"/>
    <x v="15"/>
    <x v="10"/>
    <n v="34.799999999999997"/>
    <n v="58"/>
    <x v="259"/>
    <n v="205.8768"/>
  </r>
  <r>
    <n v="1340"/>
    <x v="127"/>
    <n v="6"/>
    <x v="6"/>
    <s v="123 6th Street"/>
    <x v="5"/>
    <x v="5"/>
    <n v="99999"/>
    <s v="USA"/>
    <x v="4"/>
    <x v="2"/>
    <n v="41951"/>
    <s v="Shipping Company B"/>
    <s v="Francisco Pérez-Olaeta"/>
    <s v="123 6th Street"/>
    <x v="5"/>
    <x v="5"/>
    <n v="99999"/>
    <x v="0"/>
    <x v="1"/>
    <x v="0"/>
    <x v="0"/>
    <n v="14"/>
    <n v="85"/>
    <x v="260"/>
    <n v="120.19"/>
  </r>
  <r>
    <n v="1341"/>
    <x v="128"/>
    <n v="8"/>
    <x v="3"/>
    <s v="123 8th Street"/>
    <x v="2"/>
    <x v="2"/>
    <n v="99999"/>
    <s v="USA"/>
    <x v="2"/>
    <x v="2"/>
    <n v="41953"/>
    <s v="Shipping Company B"/>
    <s v="Elizabeth Andersen"/>
    <s v="123 8th Street"/>
    <x v="2"/>
    <x v="2"/>
    <n v="99999"/>
    <x v="0"/>
    <x v="0"/>
    <x v="9"/>
    <x v="5"/>
    <n v="40"/>
    <n v="28"/>
    <x v="139"/>
    <n v="110.88"/>
  </r>
  <r>
    <n v="1342"/>
    <x v="128"/>
    <n v="8"/>
    <x v="3"/>
    <s v="123 8th Street"/>
    <x v="2"/>
    <x v="2"/>
    <n v="99999"/>
    <s v="USA"/>
    <x v="2"/>
    <x v="2"/>
    <d v="2014-11-10T00:00:00"/>
    <s v="Shipping Company B"/>
    <s v="Elizabeth Andersen"/>
    <s v="123 8th Street"/>
    <x v="2"/>
    <x v="2"/>
    <n v="99999"/>
    <x v="0"/>
    <x v="0"/>
    <x v="6"/>
    <x v="2"/>
    <n v="9.1999999999999993"/>
    <n v="19"/>
    <x v="261"/>
    <n v="17.130400000000002"/>
  </r>
  <r>
    <n v="1343"/>
    <x v="129"/>
    <n v="25"/>
    <x v="13"/>
    <s v="789 25th Street"/>
    <x v="7"/>
    <x v="7"/>
    <n v="99999"/>
    <s v="USA"/>
    <x v="6"/>
    <x v="1"/>
    <d v="2014-11-27T00:00:00"/>
    <s v="Shipping Company A"/>
    <s v="John Rodman"/>
    <s v="789 25th Street"/>
    <x v="7"/>
    <x v="7"/>
    <n v="99999"/>
    <x v="0"/>
    <x v="2"/>
    <x v="21"/>
    <x v="2"/>
    <n v="10"/>
    <n v="99"/>
    <x v="82"/>
    <n v="102.96000000000001"/>
  </r>
  <r>
    <n v="1344"/>
    <x v="130"/>
    <n v="26"/>
    <x v="14"/>
    <s v="789 26th Street"/>
    <x v="9"/>
    <x v="9"/>
    <n v="99999"/>
    <s v="USA"/>
    <x v="5"/>
    <x v="3"/>
    <d v="2014-11-28T00:00:00"/>
    <s v="Shipping Company C"/>
    <s v="Run Liu"/>
    <s v="789 26th Street"/>
    <x v="9"/>
    <x v="9"/>
    <n v="99999"/>
    <x v="0"/>
    <x v="1"/>
    <x v="22"/>
    <x v="13"/>
    <n v="21.35"/>
    <n v="69"/>
    <x v="262"/>
    <n v="153.20760000000004"/>
  </r>
  <r>
    <n v="1345"/>
    <x v="130"/>
    <n v="26"/>
    <x v="14"/>
    <s v="789 26th Street"/>
    <x v="9"/>
    <x v="9"/>
    <n v="99999"/>
    <s v="USA"/>
    <x v="5"/>
    <x v="3"/>
    <d v="2014-11-28T00:00:00"/>
    <s v="Shipping Company C"/>
    <s v="Run Liu"/>
    <s v="789 26th Street"/>
    <x v="9"/>
    <x v="9"/>
    <n v="99999"/>
    <x v="0"/>
    <x v="1"/>
    <x v="8"/>
    <x v="4"/>
    <n v="9.65"/>
    <n v="37"/>
    <x v="263"/>
    <n v="33.919750000000001"/>
  </r>
  <r>
    <n v="1346"/>
    <x v="130"/>
    <n v="26"/>
    <x v="14"/>
    <s v="789 26th Street"/>
    <x v="9"/>
    <x v="9"/>
    <n v="99999"/>
    <s v="USA"/>
    <x v="5"/>
    <x v="3"/>
    <d v="2014-11-28T00:00:00"/>
    <s v="Shipping Company C"/>
    <s v="Run Liu"/>
    <s v="789 26th Street"/>
    <x v="9"/>
    <x v="9"/>
    <n v="99999"/>
    <x v="0"/>
    <x v="1"/>
    <x v="13"/>
    <x v="8"/>
    <n v="18.399999999999999"/>
    <n v="64"/>
    <x v="107"/>
    <n v="118.93759999999999"/>
  </r>
  <r>
    <n v="1347"/>
    <x v="131"/>
    <n v="29"/>
    <x v="4"/>
    <s v="789 29th Street"/>
    <x v="3"/>
    <x v="3"/>
    <n v="99999"/>
    <s v="USA"/>
    <x v="3"/>
    <x v="0"/>
    <d v="2014-12-01T00:00:00"/>
    <s v="Shipping Company B"/>
    <s v="Soo Jung Lee"/>
    <s v="789 29th Street"/>
    <x v="3"/>
    <x v="3"/>
    <n v="99999"/>
    <x v="0"/>
    <x v="0"/>
    <x v="0"/>
    <x v="0"/>
    <n v="14"/>
    <n v="38"/>
    <x v="197"/>
    <n v="55.328000000000003"/>
  </r>
  <r>
    <n v="1348"/>
    <x v="127"/>
    <n v="6"/>
    <x v="6"/>
    <s v="123 6th Street"/>
    <x v="5"/>
    <x v="5"/>
    <n v="99999"/>
    <s v="USA"/>
    <x v="4"/>
    <x v="2"/>
    <d v="2014-11-08T00:00:00"/>
    <s v="Shipping Company C"/>
    <s v="Francisco Pérez-Olaeta"/>
    <s v="123 6th Street"/>
    <x v="5"/>
    <x v="5"/>
    <n v="99999"/>
    <x v="0"/>
    <x v="0"/>
    <x v="7"/>
    <x v="3"/>
    <n v="12.75"/>
    <n v="15"/>
    <x v="264"/>
    <n v="18.55125"/>
  </r>
  <r>
    <n v="1350"/>
    <x v="132"/>
    <n v="4"/>
    <x v="1"/>
    <s v="123 4th Street"/>
    <x v="1"/>
    <x v="1"/>
    <n v="99999"/>
    <s v="USA"/>
    <x v="1"/>
    <x v="1"/>
    <d v="2014-11-06T00:00:00"/>
    <s v="Shipping Company A"/>
    <s v="Christina Lee"/>
    <s v="123 4th Street"/>
    <x v="1"/>
    <x v="1"/>
    <n v="99999"/>
    <x v="0"/>
    <x v="1"/>
    <x v="23"/>
    <x v="6"/>
    <n v="81"/>
    <n v="52"/>
    <x v="265"/>
    <n v="412.77600000000001"/>
  </r>
  <r>
    <n v="1351"/>
    <x v="132"/>
    <n v="4"/>
    <x v="1"/>
    <s v="123 4th Street"/>
    <x v="1"/>
    <x v="1"/>
    <n v="99999"/>
    <s v="USA"/>
    <x v="1"/>
    <x v="1"/>
    <d v="2014-11-06T00:00:00"/>
    <s v="Shipping Company A"/>
    <s v="Christina Lee"/>
    <s v="123 4th Street"/>
    <x v="1"/>
    <x v="1"/>
    <n v="99999"/>
    <x v="0"/>
    <x v="1"/>
    <x v="24"/>
    <x v="14"/>
    <n v="7"/>
    <n v="37"/>
    <x v="58"/>
    <n v="25.382000000000001"/>
  </r>
  <r>
    <n v="1353"/>
    <x v="128"/>
    <n v="8"/>
    <x v="3"/>
    <s v="123 8th Street"/>
    <x v="2"/>
    <x v="2"/>
    <n v="99999"/>
    <s v="USA"/>
    <x v="2"/>
    <x v="2"/>
    <d v="2014-11-10T00:00:00"/>
    <s v="Shipping Company C"/>
    <s v="Elizabeth Andersen"/>
    <s v="123 8th Street"/>
    <x v="2"/>
    <x v="2"/>
    <n v="99999"/>
    <x v="0"/>
    <x v="1"/>
    <x v="15"/>
    <x v="10"/>
    <n v="34.799999999999997"/>
    <n v="24"/>
    <x v="266"/>
    <n v="80.179199999999994"/>
  </r>
  <r>
    <n v="1356"/>
    <x v="133"/>
    <n v="3"/>
    <x v="5"/>
    <s v="123 3rd Street"/>
    <x v="4"/>
    <x v="4"/>
    <n v="99999"/>
    <s v="USA"/>
    <x v="0"/>
    <x v="0"/>
    <d v="2014-11-05T00:00:00"/>
    <s v="Shipping Company B"/>
    <s v="Thomas Axerr"/>
    <s v="123 3rd Street"/>
    <x v="4"/>
    <x v="4"/>
    <n v="99999"/>
    <x v="0"/>
    <x v="2"/>
    <x v="16"/>
    <x v="7"/>
    <n v="10"/>
    <n v="36"/>
    <x v="267"/>
    <n v="37.08"/>
  </r>
  <r>
    <n v="1357"/>
    <x v="133"/>
    <n v="3"/>
    <x v="5"/>
    <s v="123 3rd Street"/>
    <x v="4"/>
    <x v="4"/>
    <n v="99999"/>
    <s v="USA"/>
    <x v="0"/>
    <x v="0"/>
    <d v="2014-11-05T00:00:00"/>
    <s v="Shipping Company B"/>
    <s v="Thomas Axerr"/>
    <s v="123 3rd Street"/>
    <x v="4"/>
    <x v="4"/>
    <n v="99999"/>
    <x v="0"/>
    <x v="2"/>
    <x v="9"/>
    <x v="5"/>
    <n v="40"/>
    <n v="24"/>
    <x v="268"/>
    <n v="96"/>
  </r>
  <r>
    <n v="1361"/>
    <x v="122"/>
    <n v="10"/>
    <x v="8"/>
    <s v="123 10th Street"/>
    <x v="7"/>
    <x v="7"/>
    <n v="99999"/>
    <s v="USA"/>
    <x v="6"/>
    <x v="1"/>
    <d v="2014-11-12T00:00:00"/>
    <s v="Shipping Company B"/>
    <s v="Roland Wacker"/>
    <s v="123 10th Street"/>
    <x v="7"/>
    <x v="7"/>
    <n v="99999"/>
    <x v="0"/>
    <x v="1"/>
    <x v="18"/>
    <x v="1"/>
    <n v="10"/>
    <n v="20"/>
    <x v="269"/>
    <n v="20"/>
  </r>
  <r>
    <n v="1363"/>
    <x v="122"/>
    <n v="10"/>
    <x v="8"/>
    <s v="123 10th Street"/>
    <x v="7"/>
    <x v="7"/>
    <n v="99999"/>
    <s v="USA"/>
    <x v="6"/>
    <x v="1"/>
    <m/>
    <s v="Shipping Company A"/>
    <s v="Roland Wacker"/>
    <s v="123 10th Street"/>
    <x v="7"/>
    <x v="7"/>
    <n v="99999"/>
    <x v="0"/>
    <x v="3"/>
    <x v="1"/>
    <x v="1"/>
    <n v="3.5"/>
    <n v="11"/>
    <x v="4"/>
    <n v="3.7345000000000002"/>
  </r>
  <r>
    <n v="1364"/>
    <x v="123"/>
    <n v="11"/>
    <x v="10"/>
    <s v="123 11th Street"/>
    <x v="9"/>
    <x v="9"/>
    <n v="99999"/>
    <s v="USA"/>
    <x v="5"/>
    <x v="3"/>
    <m/>
    <s v="Shipping Company C"/>
    <s v="Peter Krschne"/>
    <s v="123 11th Street"/>
    <x v="9"/>
    <x v="9"/>
    <n v="99999"/>
    <x v="0"/>
    <x v="3"/>
    <x v="9"/>
    <x v="5"/>
    <n v="40"/>
    <n v="78"/>
    <x v="189"/>
    <n v="299.52"/>
  </r>
  <r>
    <n v="1365"/>
    <x v="124"/>
    <n v="1"/>
    <x v="11"/>
    <s v="123 1st Street"/>
    <x v="10"/>
    <x v="10"/>
    <n v="99999"/>
    <s v="USA"/>
    <x v="2"/>
    <x v="2"/>
    <m/>
    <s v="Shipping Company C"/>
    <s v="Anna Bedecs"/>
    <s v="123 1st Street"/>
    <x v="10"/>
    <x v="10"/>
    <n v="99999"/>
    <x v="0"/>
    <x v="3"/>
    <x v="13"/>
    <x v="8"/>
    <n v="18.399999999999999"/>
    <n v="76"/>
    <x v="270"/>
    <n v="144.0352"/>
  </r>
  <r>
    <n v="1366"/>
    <x v="125"/>
    <n v="28"/>
    <x v="7"/>
    <s v="789 28th Street"/>
    <x v="6"/>
    <x v="6"/>
    <n v="99999"/>
    <s v="USA"/>
    <x v="5"/>
    <x v="3"/>
    <d v="2014-11-30T00:00:00"/>
    <s v="Shipping Company C"/>
    <s v="Amritansh Raghav"/>
    <s v="789 28th Street"/>
    <x v="6"/>
    <x v="6"/>
    <n v="99999"/>
    <x v="0"/>
    <x v="1"/>
    <x v="5"/>
    <x v="0"/>
    <n v="46"/>
    <n v="57"/>
    <x v="271"/>
    <n v="272.68799999999999"/>
  </r>
  <r>
    <n v="1367"/>
    <x v="126"/>
    <n v="9"/>
    <x v="12"/>
    <s v="123 9th Street"/>
    <x v="11"/>
    <x v="11"/>
    <n v="99999"/>
    <s v="USA"/>
    <x v="7"/>
    <x v="0"/>
    <d v="2014-11-11T00:00:00"/>
    <s v="Shipping Company A"/>
    <s v="Sven Mortensen"/>
    <s v="123 9th Street"/>
    <x v="11"/>
    <x v="11"/>
    <n v="99999"/>
    <x v="0"/>
    <x v="0"/>
    <x v="8"/>
    <x v="4"/>
    <n v="9.65"/>
    <n v="14"/>
    <x v="272"/>
    <n v="12.9696"/>
  </r>
  <r>
    <n v="1368"/>
    <x v="134"/>
    <n v="27"/>
    <x v="0"/>
    <s v="789 27th Street"/>
    <x v="0"/>
    <x v="0"/>
    <n v="99999"/>
    <s v="USA"/>
    <x v="0"/>
    <x v="0"/>
    <d v="2014-12-29T00:00:00"/>
    <s v="Shipping Company B"/>
    <s v="Karen Toh"/>
    <s v="789 27th Street"/>
    <x v="0"/>
    <x v="0"/>
    <n v="99999"/>
    <x v="0"/>
    <x v="0"/>
    <x v="0"/>
    <x v="0"/>
    <n v="14"/>
    <n v="14"/>
    <x v="273"/>
    <n v="19.796000000000003"/>
  </r>
  <r>
    <n v="1369"/>
    <x v="134"/>
    <n v="27"/>
    <x v="0"/>
    <s v="789 27th Street"/>
    <x v="0"/>
    <x v="0"/>
    <n v="99999"/>
    <s v="USA"/>
    <x v="0"/>
    <x v="0"/>
    <d v="2014-12-29T00:00:00"/>
    <s v="Shipping Company B"/>
    <s v="Karen Toh"/>
    <s v="789 27th Street"/>
    <x v="0"/>
    <x v="0"/>
    <n v="99999"/>
    <x v="0"/>
    <x v="0"/>
    <x v="1"/>
    <x v="1"/>
    <n v="3.5"/>
    <n v="70"/>
    <x v="274"/>
    <n v="25.234999999999999"/>
  </r>
  <r>
    <n v="1370"/>
    <x v="135"/>
    <n v="4"/>
    <x v="1"/>
    <s v="123 4th Street"/>
    <x v="1"/>
    <x v="1"/>
    <n v="99999"/>
    <s v="USA"/>
    <x v="1"/>
    <x v="1"/>
    <d v="2014-12-06T00:00:00"/>
    <s v="Shipping Company A"/>
    <s v="Christina Lee"/>
    <s v="123 4th Street"/>
    <x v="1"/>
    <x v="1"/>
    <n v="99999"/>
    <x v="0"/>
    <x v="1"/>
    <x v="2"/>
    <x v="1"/>
    <n v="30"/>
    <n v="100"/>
    <x v="275"/>
    <n v="291"/>
  </r>
  <r>
    <n v="1371"/>
    <x v="135"/>
    <n v="4"/>
    <x v="1"/>
    <s v="123 4th Street"/>
    <x v="1"/>
    <x v="1"/>
    <n v="99999"/>
    <s v="USA"/>
    <x v="1"/>
    <x v="1"/>
    <d v="2014-12-06T00:00:00"/>
    <s v="Shipping Company A"/>
    <s v="Christina Lee"/>
    <s v="123 4th Street"/>
    <x v="1"/>
    <x v="1"/>
    <n v="99999"/>
    <x v="0"/>
    <x v="1"/>
    <x v="3"/>
    <x v="1"/>
    <n v="53"/>
    <n v="27"/>
    <x v="276"/>
    <n v="143.1"/>
  </r>
  <r>
    <n v="1372"/>
    <x v="135"/>
    <n v="4"/>
    <x v="1"/>
    <s v="123 4th Street"/>
    <x v="1"/>
    <x v="1"/>
    <n v="99999"/>
    <s v="USA"/>
    <x v="1"/>
    <x v="1"/>
    <d v="2014-12-06T00:00:00"/>
    <s v="Shipping Company A"/>
    <s v="Christina Lee"/>
    <s v="123 4th Street"/>
    <x v="1"/>
    <x v="1"/>
    <n v="99999"/>
    <x v="0"/>
    <x v="1"/>
    <x v="1"/>
    <x v="1"/>
    <n v="3.5"/>
    <n v="70"/>
    <x v="274"/>
    <n v="24.009999999999998"/>
  </r>
  <r>
    <n v="1373"/>
    <x v="136"/>
    <n v="12"/>
    <x v="2"/>
    <s v="123 12th Street"/>
    <x v="0"/>
    <x v="0"/>
    <n v="99999"/>
    <s v="USA"/>
    <x v="0"/>
    <x v="0"/>
    <d v="2014-12-14T00:00:00"/>
    <s v="Shipping Company B"/>
    <s v="John Edwards"/>
    <s v="123 12th Street"/>
    <x v="0"/>
    <x v="0"/>
    <n v="99999"/>
    <x v="0"/>
    <x v="1"/>
    <x v="4"/>
    <x v="0"/>
    <n v="18"/>
    <n v="57"/>
    <x v="277"/>
    <n v="102.60000000000001"/>
  </r>
  <r>
    <n v="1374"/>
    <x v="136"/>
    <n v="12"/>
    <x v="2"/>
    <s v="123 12th Street"/>
    <x v="0"/>
    <x v="0"/>
    <n v="99999"/>
    <s v="USA"/>
    <x v="0"/>
    <x v="0"/>
    <d v="2014-12-14T00:00:00"/>
    <s v="Shipping Company B"/>
    <s v="John Edwards"/>
    <s v="123 12th Street"/>
    <x v="0"/>
    <x v="0"/>
    <n v="99999"/>
    <x v="0"/>
    <x v="1"/>
    <x v="5"/>
    <x v="0"/>
    <n v="46"/>
    <n v="83"/>
    <x v="278"/>
    <n v="374.16399999999999"/>
  </r>
  <r>
    <n v="1375"/>
    <x v="137"/>
    <n v="8"/>
    <x v="3"/>
    <s v="123 8th Street"/>
    <x v="2"/>
    <x v="2"/>
    <n v="99999"/>
    <s v="USA"/>
    <x v="2"/>
    <x v="2"/>
    <d v="2014-12-10T00:00:00"/>
    <s v="Shipping Company C"/>
    <s v="Elizabeth Andersen"/>
    <s v="123 8th Street"/>
    <x v="2"/>
    <x v="2"/>
    <n v="99999"/>
    <x v="0"/>
    <x v="1"/>
    <x v="6"/>
    <x v="2"/>
    <n v="9.1999999999999993"/>
    <n v="76"/>
    <x v="279"/>
    <n v="67.123199999999997"/>
  </r>
  <r>
    <n v="1376"/>
    <x v="135"/>
    <n v="4"/>
    <x v="1"/>
    <s v="123 4th Street"/>
    <x v="1"/>
    <x v="1"/>
    <n v="99999"/>
    <s v="USA"/>
    <x v="1"/>
    <x v="1"/>
    <n v="41979"/>
    <s v="Shipping Company C"/>
    <s v="Christina Lee"/>
    <s v="123 4th Street"/>
    <x v="1"/>
    <x v="1"/>
    <n v="99999"/>
    <x v="0"/>
    <x v="0"/>
    <x v="6"/>
    <x v="2"/>
    <n v="9.1999999999999993"/>
    <n v="80"/>
    <x v="129"/>
    <n v="72.864000000000004"/>
  </r>
  <r>
    <n v="1377"/>
    <x v="138"/>
    <n v="29"/>
    <x v="4"/>
    <s v="789 29th Street"/>
    <x v="3"/>
    <x v="3"/>
    <n v="99999"/>
    <s v="USA"/>
    <x v="3"/>
    <x v="0"/>
    <n v="42004"/>
    <s v="Shipping Company B"/>
    <s v="Soo Jung Lee"/>
    <s v="789 29th Street"/>
    <x v="3"/>
    <x v="3"/>
    <n v="99999"/>
    <x v="0"/>
    <x v="0"/>
    <x v="7"/>
    <x v="3"/>
    <n v="12.75"/>
    <n v="47"/>
    <x v="13"/>
    <n v="59.325750000000006"/>
  </r>
  <r>
    <n v="1378"/>
    <x v="139"/>
    <n v="3"/>
    <x v="5"/>
    <s v="123 3rd Street"/>
    <x v="4"/>
    <x v="4"/>
    <n v="99999"/>
    <s v="USA"/>
    <x v="0"/>
    <x v="0"/>
    <n v="41978"/>
    <s v="Shipping Company B"/>
    <s v="Thomas Axerr"/>
    <s v="123 3rd Street"/>
    <x v="4"/>
    <x v="4"/>
    <n v="99999"/>
    <x v="0"/>
    <x v="2"/>
    <x v="8"/>
    <x v="4"/>
    <n v="9.65"/>
    <n v="96"/>
    <x v="280"/>
    <n v="94.492800000000017"/>
  </r>
  <r>
    <n v="1379"/>
    <x v="140"/>
    <n v="6"/>
    <x v="6"/>
    <s v="123 6th Street"/>
    <x v="5"/>
    <x v="5"/>
    <n v="99999"/>
    <s v="USA"/>
    <x v="4"/>
    <x v="2"/>
    <n v="41981"/>
    <s v="Shipping Company B"/>
    <s v="Francisco Pérez-Olaeta"/>
    <s v="123 6th Street"/>
    <x v="5"/>
    <x v="5"/>
    <n v="99999"/>
    <x v="0"/>
    <x v="1"/>
    <x v="9"/>
    <x v="5"/>
    <n v="40"/>
    <n v="32"/>
    <x v="11"/>
    <n v="134.4"/>
  </r>
  <r>
    <n v="1380"/>
    <x v="141"/>
    <n v="28"/>
    <x v="7"/>
    <s v="789 28th Street"/>
    <x v="6"/>
    <x v="6"/>
    <n v="99999"/>
    <s v="USA"/>
    <x v="5"/>
    <x v="3"/>
    <d v="2014-12-30T00:00:00"/>
    <s v="Shipping Company C"/>
    <s v="Amritansh Raghav"/>
    <s v="789 28th Street"/>
    <x v="6"/>
    <x v="6"/>
    <n v="99999"/>
    <x v="0"/>
    <x v="0"/>
    <x v="5"/>
    <x v="0"/>
    <n v="46"/>
    <n v="16"/>
    <x v="129"/>
    <n v="73.600000000000009"/>
  </r>
  <r>
    <n v="1381"/>
    <x v="137"/>
    <n v="8"/>
    <x v="3"/>
    <s v="123 8th Street"/>
    <x v="2"/>
    <x v="2"/>
    <n v="99999"/>
    <s v="USA"/>
    <x v="2"/>
    <x v="2"/>
    <d v="2014-12-10T00:00:00"/>
    <s v="Shipping Company C"/>
    <s v="Elizabeth Andersen"/>
    <s v="123 8th Street"/>
    <x v="2"/>
    <x v="2"/>
    <n v="99999"/>
    <x v="0"/>
    <x v="0"/>
    <x v="7"/>
    <x v="3"/>
    <n v="12.75"/>
    <n v="41"/>
    <x v="87"/>
    <n v="51.229500000000002"/>
  </r>
  <r>
    <n v="1382"/>
    <x v="142"/>
    <n v="10"/>
    <x v="8"/>
    <s v="123 10th Street"/>
    <x v="7"/>
    <x v="7"/>
    <n v="99999"/>
    <s v="USA"/>
    <x v="6"/>
    <x v="1"/>
    <d v="2014-12-12T00:00:00"/>
    <s v="Shipping Company B"/>
    <s v="Roland Wacker"/>
    <s v="123 10th Street"/>
    <x v="7"/>
    <x v="7"/>
    <n v="99999"/>
    <x v="0"/>
    <x v="1"/>
    <x v="10"/>
    <x v="0"/>
    <n v="2.99"/>
    <n v="41"/>
    <x v="281"/>
    <n v="12.871950000000002"/>
  </r>
  <r>
    <n v="1383"/>
    <x v="143"/>
    <n v="7"/>
    <x v="9"/>
    <s v="123 7th Street"/>
    <x v="8"/>
    <x v="8"/>
    <n v="99999"/>
    <s v="USA"/>
    <x v="2"/>
    <x v="2"/>
    <m/>
    <m/>
    <s v="Ming-Yang Xie"/>
    <s v="123 7th Street"/>
    <x v="8"/>
    <x v="8"/>
    <n v="99999"/>
    <x v="0"/>
    <x v="3"/>
    <x v="5"/>
    <x v="0"/>
    <n v="46"/>
    <n v="41"/>
    <x v="282"/>
    <n v="194.25800000000004"/>
  </r>
  <r>
    <n v="1384"/>
    <x v="142"/>
    <n v="10"/>
    <x v="8"/>
    <s v="123 10th Street"/>
    <x v="7"/>
    <x v="7"/>
    <n v="99999"/>
    <s v="USA"/>
    <x v="6"/>
    <x v="1"/>
    <d v="2014-12-12T00:00:00"/>
    <s v="Shipping Company A"/>
    <s v="Roland Wacker"/>
    <s v="123 10th Street"/>
    <x v="7"/>
    <x v="7"/>
    <n v="99999"/>
    <x v="0"/>
    <x v="3"/>
    <x v="11"/>
    <x v="6"/>
    <n v="25"/>
    <n v="94"/>
    <x v="283"/>
    <n v="235"/>
  </r>
  <r>
    <n v="1385"/>
    <x v="142"/>
    <n v="10"/>
    <x v="8"/>
    <s v="123 10th Street"/>
    <x v="7"/>
    <x v="7"/>
    <n v="99999"/>
    <s v="USA"/>
    <x v="6"/>
    <x v="1"/>
    <d v="2014-12-12T00:00:00"/>
    <s v="Shipping Company A"/>
    <s v="Roland Wacker"/>
    <s v="123 10th Street"/>
    <x v="7"/>
    <x v="7"/>
    <n v="99999"/>
    <x v="0"/>
    <x v="3"/>
    <x v="12"/>
    <x v="7"/>
    <n v="22"/>
    <n v="20"/>
    <x v="284"/>
    <n v="46.2"/>
  </r>
  <r>
    <n v="1386"/>
    <x v="142"/>
    <n v="10"/>
    <x v="8"/>
    <s v="123 10th Street"/>
    <x v="7"/>
    <x v="7"/>
    <n v="99999"/>
    <s v="USA"/>
    <x v="6"/>
    <x v="1"/>
    <n v="41985"/>
    <s v="Shipping Company A"/>
    <s v="Roland Wacker"/>
    <s v="123 10th Street"/>
    <x v="7"/>
    <x v="7"/>
    <n v="99999"/>
    <x v="0"/>
    <x v="3"/>
    <x v="6"/>
    <x v="2"/>
    <n v="9.1999999999999993"/>
    <n v="13"/>
    <x v="285"/>
    <n v="12.438400000000001"/>
  </r>
  <r>
    <n v="1387"/>
    <x v="144"/>
    <n v="11"/>
    <x v="10"/>
    <s v="123 11th Street"/>
    <x v="9"/>
    <x v="9"/>
    <n v="99999"/>
    <s v="USA"/>
    <x v="5"/>
    <x v="3"/>
    <m/>
    <s v="Shipping Company C"/>
    <s v="Peter Krschne"/>
    <s v="123 11th Street"/>
    <x v="9"/>
    <x v="9"/>
    <n v="99999"/>
    <x v="0"/>
    <x v="3"/>
    <x v="1"/>
    <x v="1"/>
    <n v="3.5"/>
    <n v="74"/>
    <x v="58"/>
    <n v="26.936000000000003"/>
  </r>
  <r>
    <n v="1388"/>
    <x v="144"/>
    <n v="11"/>
    <x v="10"/>
    <s v="123 11th Street"/>
    <x v="9"/>
    <x v="9"/>
    <n v="99999"/>
    <s v="USA"/>
    <x v="5"/>
    <x v="3"/>
    <m/>
    <s v="Shipping Company C"/>
    <s v="Peter Krschne"/>
    <s v="123 11th Street"/>
    <x v="9"/>
    <x v="9"/>
    <n v="99999"/>
    <x v="0"/>
    <x v="3"/>
    <x v="10"/>
    <x v="0"/>
    <n v="2.99"/>
    <n v="53"/>
    <x v="286"/>
    <n v="16.005470000000003"/>
  </r>
  <r>
    <n v="1389"/>
    <x v="145"/>
    <n v="1"/>
    <x v="11"/>
    <s v="123 1st Street"/>
    <x v="10"/>
    <x v="10"/>
    <n v="99999"/>
    <s v="USA"/>
    <x v="2"/>
    <x v="2"/>
    <m/>
    <m/>
    <s v="Anna Bedecs"/>
    <s v="123 1st Street"/>
    <x v="10"/>
    <x v="10"/>
    <n v="99999"/>
    <x v="0"/>
    <x v="3"/>
    <x v="4"/>
    <x v="0"/>
    <n v="18"/>
    <n v="99"/>
    <x v="287"/>
    <n v="174.63600000000002"/>
  </r>
  <r>
    <n v="1390"/>
    <x v="145"/>
    <n v="1"/>
    <x v="11"/>
    <s v="123 1st Street"/>
    <x v="10"/>
    <x v="10"/>
    <n v="99999"/>
    <s v="USA"/>
    <x v="2"/>
    <x v="2"/>
    <m/>
    <m/>
    <s v="Anna Bedecs"/>
    <s v="123 1st Street"/>
    <x v="10"/>
    <x v="10"/>
    <n v="99999"/>
    <x v="0"/>
    <x v="3"/>
    <x v="5"/>
    <x v="0"/>
    <n v="46"/>
    <n v="89"/>
    <x v="288"/>
    <n v="388.93"/>
  </r>
  <r>
    <n v="1391"/>
    <x v="145"/>
    <n v="1"/>
    <x v="11"/>
    <s v="123 1st Street"/>
    <x v="10"/>
    <x v="10"/>
    <n v="99999"/>
    <s v="USA"/>
    <x v="2"/>
    <x v="2"/>
    <m/>
    <m/>
    <s v="Anna Bedecs"/>
    <s v="123 1st Street"/>
    <x v="10"/>
    <x v="10"/>
    <n v="99999"/>
    <x v="0"/>
    <x v="3"/>
    <x v="10"/>
    <x v="0"/>
    <n v="2.99"/>
    <n v="64"/>
    <x v="200"/>
    <n v="19.518720000000002"/>
  </r>
  <r>
    <n v="1392"/>
    <x v="141"/>
    <n v="28"/>
    <x v="7"/>
    <s v="789 28th Street"/>
    <x v="6"/>
    <x v="6"/>
    <n v="99999"/>
    <s v="USA"/>
    <x v="5"/>
    <x v="3"/>
    <d v="2014-12-30T00:00:00"/>
    <s v="Shipping Company C"/>
    <s v="Amritansh Raghav"/>
    <s v="789 28th Street"/>
    <x v="6"/>
    <x v="6"/>
    <n v="99999"/>
    <x v="0"/>
    <x v="1"/>
    <x v="8"/>
    <x v="4"/>
    <n v="9.65"/>
    <n v="98"/>
    <x v="289"/>
    <n v="96.461400000000012"/>
  </r>
  <r>
    <n v="1393"/>
    <x v="141"/>
    <n v="28"/>
    <x v="7"/>
    <s v="789 28th Street"/>
    <x v="6"/>
    <x v="6"/>
    <n v="99999"/>
    <s v="USA"/>
    <x v="5"/>
    <x v="3"/>
    <d v="2014-12-30T00:00:00"/>
    <s v="Shipping Company C"/>
    <s v="Amritansh Raghav"/>
    <s v="789 28th Street"/>
    <x v="6"/>
    <x v="6"/>
    <n v="99999"/>
    <x v="0"/>
    <x v="1"/>
    <x v="13"/>
    <x v="8"/>
    <n v="18.399999999999999"/>
    <n v="86"/>
    <x v="290"/>
    <n v="155.0752"/>
  </r>
  <r>
    <n v="1394"/>
    <x v="146"/>
    <n v="9"/>
    <x v="12"/>
    <s v="123 9th Street"/>
    <x v="11"/>
    <x v="11"/>
    <n v="99999"/>
    <s v="USA"/>
    <x v="7"/>
    <x v="0"/>
    <d v="2014-12-11T00:00:00"/>
    <s v="Shipping Company A"/>
    <s v="Sven Mortensen"/>
    <s v="123 9th Street"/>
    <x v="11"/>
    <x v="11"/>
    <n v="99999"/>
    <x v="0"/>
    <x v="0"/>
    <x v="14"/>
    <x v="9"/>
    <n v="19.5"/>
    <n v="20"/>
    <x v="291"/>
    <n v="40.950000000000003"/>
  </r>
  <r>
    <n v="1395"/>
    <x v="146"/>
    <n v="9"/>
    <x v="12"/>
    <s v="123 9th Street"/>
    <x v="11"/>
    <x v="11"/>
    <n v="99999"/>
    <s v="USA"/>
    <x v="7"/>
    <x v="0"/>
    <d v="2014-12-11T00:00:00"/>
    <s v="Shipping Company A"/>
    <s v="Sven Mortensen"/>
    <s v="123 9th Street"/>
    <x v="11"/>
    <x v="11"/>
    <n v="99999"/>
    <x v="0"/>
    <x v="0"/>
    <x v="15"/>
    <x v="10"/>
    <n v="34.799999999999997"/>
    <n v="69"/>
    <x v="292"/>
    <n v="240.12"/>
  </r>
  <r>
    <n v="1396"/>
    <x v="140"/>
    <n v="6"/>
    <x v="6"/>
    <s v="123 6th Street"/>
    <x v="5"/>
    <x v="5"/>
    <n v="99999"/>
    <s v="USA"/>
    <x v="4"/>
    <x v="2"/>
    <d v="2014-12-08T00:00:00"/>
    <s v="Shipping Company B"/>
    <s v="Francisco Pérez-Olaeta"/>
    <s v="123 6th Street"/>
    <x v="5"/>
    <x v="5"/>
    <n v="99999"/>
    <x v="0"/>
    <x v="1"/>
    <x v="0"/>
    <x v="0"/>
    <n v="14"/>
    <n v="68"/>
    <x v="293"/>
    <n v="91.391999999999996"/>
  </r>
  <r>
    <n v="1397"/>
    <x v="137"/>
    <n v="8"/>
    <x v="3"/>
    <s v="123 8th Street"/>
    <x v="2"/>
    <x v="2"/>
    <n v="99999"/>
    <s v="USA"/>
    <x v="2"/>
    <x v="2"/>
    <d v="2014-12-10T00:00:00"/>
    <s v="Shipping Company B"/>
    <s v="Elizabeth Andersen"/>
    <s v="123 8th Street"/>
    <x v="2"/>
    <x v="2"/>
    <n v="99999"/>
    <x v="0"/>
    <x v="0"/>
    <x v="9"/>
    <x v="5"/>
    <n v="40"/>
    <n v="52"/>
    <x v="294"/>
    <n v="203.84"/>
  </r>
  <r>
    <n v="1398"/>
    <x v="137"/>
    <n v="8"/>
    <x v="3"/>
    <s v="123 8th Street"/>
    <x v="2"/>
    <x v="2"/>
    <n v="99999"/>
    <s v="USA"/>
    <x v="2"/>
    <x v="2"/>
    <d v="2014-12-10T00:00:00"/>
    <s v="Shipping Company B"/>
    <s v="Elizabeth Andersen"/>
    <s v="123 8th Street"/>
    <x v="2"/>
    <x v="2"/>
    <n v="99999"/>
    <x v="0"/>
    <x v="0"/>
    <x v="6"/>
    <x v="2"/>
    <n v="9.1999999999999993"/>
    <n v="40"/>
    <x v="295"/>
    <n v="38.640000000000008"/>
  </r>
  <r>
    <n v="1399"/>
    <x v="147"/>
    <n v="25"/>
    <x v="13"/>
    <s v="789 25th Street"/>
    <x v="7"/>
    <x v="7"/>
    <n v="99999"/>
    <s v="USA"/>
    <x v="6"/>
    <x v="1"/>
    <d v="2014-12-27T00:00:00"/>
    <s v="Shipping Company A"/>
    <s v="John Rodman"/>
    <s v="789 25th Street"/>
    <x v="7"/>
    <x v="7"/>
    <n v="99999"/>
    <x v="0"/>
    <x v="2"/>
    <x v="21"/>
    <x v="2"/>
    <n v="10"/>
    <n v="100"/>
    <x v="116"/>
    <n v="98"/>
  </r>
  <r>
    <n v="1400"/>
    <x v="148"/>
    <n v="26"/>
    <x v="14"/>
    <s v="789 26th Street"/>
    <x v="9"/>
    <x v="9"/>
    <n v="99999"/>
    <s v="USA"/>
    <x v="5"/>
    <x v="3"/>
    <d v="2014-12-28T00:00:00"/>
    <s v="Shipping Company C"/>
    <s v="Run Liu"/>
    <s v="789 26th Street"/>
    <x v="9"/>
    <x v="9"/>
    <n v="99999"/>
    <x v="0"/>
    <x v="1"/>
    <x v="22"/>
    <x v="13"/>
    <n v="21.35"/>
    <n v="88"/>
    <x v="296"/>
    <n v="184.12240000000003"/>
  </r>
  <r>
    <n v="1401"/>
    <x v="148"/>
    <n v="26"/>
    <x v="14"/>
    <s v="789 26th Street"/>
    <x v="9"/>
    <x v="9"/>
    <n v="99999"/>
    <s v="USA"/>
    <x v="5"/>
    <x v="3"/>
    <d v="2014-12-28T00:00:00"/>
    <s v="Shipping Company C"/>
    <s v="Run Liu"/>
    <s v="789 26th Street"/>
    <x v="9"/>
    <x v="9"/>
    <n v="99999"/>
    <x v="0"/>
    <x v="1"/>
    <x v="8"/>
    <x v="4"/>
    <n v="9.65"/>
    <n v="46"/>
    <x v="256"/>
    <n v="42.614400000000003"/>
  </r>
  <r>
    <n v="1402"/>
    <x v="148"/>
    <n v="26"/>
    <x v="14"/>
    <s v="789 26th Street"/>
    <x v="9"/>
    <x v="9"/>
    <n v="99999"/>
    <s v="USA"/>
    <x v="5"/>
    <x v="3"/>
    <d v="2014-12-28T00:00:00"/>
    <s v="Shipping Company C"/>
    <s v="Run Liu"/>
    <s v="789 26th Street"/>
    <x v="9"/>
    <x v="9"/>
    <n v="99999"/>
    <x v="0"/>
    <x v="1"/>
    <x v="13"/>
    <x v="8"/>
    <n v="18.399999999999999"/>
    <n v="93"/>
    <x v="297"/>
    <n v="167.69759999999999"/>
  </r>
  <r>
    <n v="1403"/>
    <x v="138"/>
    <n v="29"/>
    <x v="4"/>
    <s v="789 29th Street"/>
    <x v="3"/>
    <x v="3"/>
    <n v="99999"/>
    <s v="USA"/>
    <x v="3"/>
    <x v="0"/>
    <d v="2014-12-31T00:00:00"/>
    <s v="Shipping Company B"/>
    <s v="Soo Jung Lee"/>
    <s v="789 29th Street"/>
    <x v="3"/>
    <x v="3"/>
    <n v="99999"/>
    <x v="0"/>
    <x v="0"/>
    <x v="0"/>
    <x v="0"/>
    <n v="14"/>
    <n v="96"/>
    <x v="298"/>
    <n v="141.12"/>
  </r>
  <r>
    <n v="1404"/>
    <x v="140"/>
    <n v="6"/>
    <x v="6"/>
    <s v="123 6th Street"/>
    <x v="5"/>
    <x v="5"/>
    <n v="99999"/>
    <s v="USA"/>
    <x v="4"/>
    <x v="2"/>
    <d v="2014-12-08T00:00:00"/>
    <s v="Shipping Company C"/>
    <s v="Francisco Pérez-Olaeta"/>
    <s v="123 6th Street"/>
    <x v="5"/>
    <x v="5"/>
    <n v="99999"/>
    <x v="0"/>
    <x v="0"/>
    <x v="7"/>
    <x v="3"/>
    <n v="12.75"/>
    <n v="12"/>
    <x v="299"/>
    <n v="16.065000000000001"/>
  </r>
  <r>
    <n v="1406"/>
    <x v="135"/>
    <n v="4"/>
    <x v="1"/>
    <s v="123 4th Street"/>
    <x v="1"/>
    <x v="1"/>
    <n v="99999"/>
    <s v="USA"/>
    <x v="1"/>
    <x v="1"/>
    <d v="2014-12-06T00:00:00"/>
    <s v="Shipping Company A"/>
    <s v="Christina Lee"/>
    <s v="123 4th Street"/>
    <x v="1"/>
    <x v="1"/>
    <n v="99999"/>
    <x v="0"/>
    <x v="1"/>
    <x v="23"/>
    <x v="6"/>
    <n v="81"/>
    <n v="38"/>
    <x v="300"/>
    <n v="292.41000000000003"/>
  </r>
  <r>
    <n v="1407"/>
    <x v="135"/>
    <n v="4"/>
    <x v="1"/>
    <s v="123 4th Street"/>
    <x v="1"/>
    <x v="1"/>
    <n v="99999"/>
    <s v="USA"/>
    <x v="1"/>
    <x v="1"/>
    <d v="2014-12-06T00:00:00"/>
    <s v="Shipping Company A"/>
    <s v="Christina Lee"/>
    <s v="123 4th Street"/>
    <x v="1"/>
    <x v="1"/>
    <n v="99999"/>
    <x v="0"/>
    <x v="1"/>
    <x v="24"/>
    <x v="14"/>
    <n v="7"/>
    <n v="42"/>
    <x v="108"/>
    <n v="29.106000000000002"/>
  </r>
  <r>
    <n v="1409"/>
    <x v="137"/>
    <n v="8"/>
    <x v="3"/>
    <s v="123 8th Street"/>
    <x v="2"/>
    <x v="2"/>
    <n v="99999"/>
    <s v="USA"/>
    <x v="2"/>
    <x v="2"/>
    <d v="2014-12-10T00:00:00"/>
    <s v="Shipping Company C"/>
    <s v="Elizabeth Andersen"/>
    <s v="123 8th Street"/>
    <x v="2"/>
    <x v="2"/>
    <n v="99999"/>
    <x v="0"/>
    <x v="1"/>
    <x v="15"/>
    <x v="10"/>
    <n v="34.799999999999997"/>
    <n v="100"/>
    <x v="301"/>
    <n v="344.52"/>
  </r>
  <r>
    <n v="1412"/>
    <x v="139"/>
    <n v="3"/>
    <x v="5"/>
    <s v="123 3rd Street"/>
    <x v="4"/>
    <x v="4"/>
    <n v="99999"/>
    <s v="USA"/>
    <x v="0"/>
    <x v="0"/>
    <d v="2014-12-05T00:00:00"/>
    <s v="Shipping Company B"/>
    <s v="Thomas Axerr"/>
    <s v="123 3rd Street"/>
    <x v="4"/>
    <x v="4"/>
    <n v="99999"/>
    <x v="0"/>
    <x v="2"/>
    <x v="16"/>
    <x v="7"/>
    <n v="10"/>
    <n v="89"/>
    <x v="302"/>
    <n v="87.22"/>
  </r>
  <r>
    <n v="1413"/>
    <x v="139"/>
    <n v="3"/>
    <x v="5"/>
    <s v="123 3rd Street"/>
    <x v="4"/>
    <x v="4"/>
    <n v="99999"/>
    <s v="USA"/>
    <x v="0"/>
    <x v="0"/>
    <d v="2014-12-05T00:00:00"/>
    <s v="Shipping Company B"/>
    <s v="Thomas Axerr"/>
    <s v="123 3rd Street"/>
    <x v="4"/>
    <x v="4"/>
    <n v="99999"/>
    <x v="0"/>
    <x v="2"/>
    <x v="9"/>
    <x v="5"/>
    <n v="40"/>
    <n v="12"/>
    <x v="60"/>
    <n v="46.56"/>
  </r>
  <r>
    <n v="1417"/>
    <x v="142"/>
    <n v="10"/>
    <x v="8"/>
    <s v="123 10th Street"/>
    <x v="7"/>
    <x v="7"/>
    <n v="99999"/>
    <s v="USA"/>
    <x v="6"/>
    <x v="1"/>
    <d v="2014-12-12T00:00:00"/>
    <s v="Shipping Company B"/>
    <s v="Roland Wacker"/>
    <s v="123 10th Street"/>
    <x v="7"/>
    <x v="7"/>
    <n v="99999"/>
    <x v="0"/>
    <x v="1"/>
    <x v="18"/>
    <x v="1"/>
    <n v="10"/>
    <n v="97"/>
    <x v="303"/>
    <n v="100.88000000000001"/>
  </r>
  <r>
    <n v="1419"/>
    <x v="142"/>
    <n v="10"/>
    <x v="8"/>
    <s v="123 10th Street"/>
    <x v="7"/>
    <x v="7"/>
    <n v="99999"/>
    <s v="USA"/>
    <x v="6"/>
    <x v="1"/>
    <m/>
    <s v="Shipping Company A"/>
    <s v="Roland Wacker"/>
    <s v="123 10th Street"/>
    <x v="7"/>
    <x v="7"/>
    <n v="99999"/>
    <x v="0"/>
    <x v="3"/>
    <x v="1"/>
    <x v="1"/>
    <n v="3.5"/>
    <n v="53"/>
    <x v="304"/>
    <n v="17.622499999999999"/>
  </r>
  <r>
    <n v="1420"/>
    <x v="144"/>
    <n v="11"/>
    <x v="10"/>
    <s v="123 11th Street"/>
    <x v="9"/>
    <x v="9"/>
    <n v="99999"/>
    <s v="USA"/>
    <x v="5"/>
    <x v="3"/>
    <m/>
    <s v="Shipping Company C"/>
    <s v="Peter Krschne"/>
    <s v="123 11th Street"/>
    <x v="9"/>
    <x v="9"/>
    <n v="99999"/>
    <x v="0"/>
    <x v="3"/>
    <x v="9"/>
    <x v="5"/>
    <n v="40"/>
    <n v="61"/>
    <x v="305"/>
    <n v="248.88"/>
  </r>
  <r>
    <n v="1421"/>
    <x v="145"/>
    <n v="1"/>
    <x v="11"/>
    <s v="123 1st Street"/>
    <x v="10"/>
    <x v="10"/>
    <n v="99999"/>
    <s v="USA"/>
    <x v="2"/>
    <x v="2"/>
    <m/>
    <s v="Shipping Company C"/>
    <s v="Anna Bedecs"/>
    <s v="123 1st Street"/>
    <x v="10"/>
    <x v="10"/>
    <n v="99999"/>
    <x v="0"/>
    <x v="3"/>
    <x v="13"/>
    <x v="8"/>
    <n v="18.399999999999999"/>
    <n v="45"/>
    <x v="306"/>
    <n v="81.143999999999991"/>
  </r>
  <r>
    <n v="1422"/>
    <x v="141"/>
    <n v="28"/>
    <x v="7"/>
    <s v="789 28th Street"/>
    <x v="6"/>
    <x v="6"/>
    <n v="99999"/>
    <s v="USA"/>
    <x v="5"/>
    <x v="3"/>
    <d v="2014-12-30T00:00:00"/>
    <s v="Shipping Company C"/>
    <s v="Amritansh Raghav"/>
    <s v="789 28th Street"/>
    <x v="6"/>
    <x v="6"/>
    <n v="99999"/>
    <x v="0"/>
    <x v="1"/>
    <x v="5"/>
    <x v="0"/>
    <n v="46"/>
    <n v="43"/>
    <x v="307"/>
    <n v="197.8"/>
  </r>
  <r>
    <n v="1423"/>
    <x v="146"/>
    <n v="9"/>
    <x v="12"/>
    <s v="123 9th Street"/>
    <x v="11"/>
    <x v="11"/>
    <n v="99999"/>
    <s v="USA"/>
    <x v="7"/>
    <x v="0"/>
    <d v="2014-12-11T00:00:00"/>
    <s v="Shipping Company A"/>
    <s v="Sven Mortensen"/>
    <s v="123 9th Street"/>
    <x v="11"/>
    <x v="11"/>
    <n v="99999"/>
    <x v="0"/>
    <x v="0"/>
    <x v="8"/>
    <x v="4"/>
    <n v="9.65"/>
    <n v="18"/>
    <x v="308"/>
    <n v="16.5015"/>
  </r>
  <r>
    <n v="1424"/>
    <x v="140"/>
    <n v="6"/>
    <x v="6"/>
    <s v="123 6th Street"/>
    <x v="5"/>
    <x v="5"/>
    <n v="99999"/>
    <s v="USA"/>
    <x v="4"/>
    <x v="2"/>
    <d v="2014-12-08T00:00:00"/>
    <s v="Shipping Company B"/>
    <s v="Francisco Pérez-Olaeta"/>
    <s v="123 6th Street"/>
    <x v="5"/>
    <x v="5"/>
    <n v="99999"/>
    <x v="0"/>
    <x v="1"/>
    <x v="7"/>
    <x v="3"/>
    <n v="12.75"/>
    <n v="41"/>
    <x v="87"/>
    <n v="50.706750000000007"/>
  </r>
  <r>
    <n v="1425"/>
    <x v="137"/>
    <n v="8"/>
    <x v="3"/>
    <s v="123 8th Street"/>
    <x v="2"/>
    <x v="2"/>
    <n v="99999"/>
    <s v="USA"/>
    <x v="2"/>
    <x v="2"/>
    <n v="41983"/>
    <s v="Shipping Company B"/>
    <s v="Elizabeth Andersen"/>
    <s v="123 8th Street"/>
    <x v="2"/>
    <x v="2"/>
    <n v="99999"/>
    <x v="0"/>
    <x v="0"/>
    <x v="7"/>
    <x v="3"/>
    <n v="12.75"/>
    <n v="19"/>
    <x v="109"/>
    <n v="23.982750000000003"/>
  </r>
  <r>
    <n v="1426"/>
    <x v="147"/>
    <n v="25"/>
    <x v="13"/>
    <s v="789 25th Street"/>
    <x v="7"/>
    <x v="7"/>
    <n v="99999"/>
    <s v="USA"/>
    <x v="6"/>
    <x v="1"/>
    <n v="42000"/>
    <s v="Shipping Company A"/>
    <s v="John Rodman"/>
    <s v="789 25th Street"/>
    <x v="7"/>
    <x v="7"/>
    <n v="99999"/>
    <x v="0"/>
    <x v="2"/>
    <x v="12"/>
    <x v="7"/>
    <n v="22"/>
    <n v="65"/>
    <x v="309"/>
    <n v="138.71"/>
  </r>
  <r>
    <n v="1427"/>
    <x v="148"/>
    <n v="26"/>
    <x v="14"/>
    <s v="789 26th Street"/>
    <x v="9"/>
    <x v="9"/>
    <n v="99999"/>
    <s v="USA"/>
    <x v="5"/>
    <x v="3"/>
    <n v="42001"/>
    <s v="Shipping Company C"/>
    <s v="Run Liu"/>
    <s v="789 26th Street"/>
    <x v="9"/>
    <x v="9"/>
    <n v="99999"/>
    <x v="0"/>
    <x v="1"/>
    <x v="11"/>
    <x v="6"/>
    <n v="25"/>
    <n v="13"/>
    <x v="310"/>
    <n v="32.174999999999997"/>
  </r>
  <r>
    <n v="1428"/>
    <x v="138"/>
    <n v="29"/>
    <x v="4"/>
    <s v="789 29th Street"/>
    <x v="3"/>
    <x v="3"/>
    <n v="99999"/>
    <s v="USA"/>
    <x v="3"/>
    <x v="0"/>
    <n v="42004"/>
    <s v="Shipping Company B"/>
    <s v="Soo Jung Lee"/>
    <s v="789 29th Street"/>
    <x v="3"/>
    <x v="3"/>
    <n v="99999"/>
    <x v="0"/>
    <x v="0"/>
    <x v="19"/>
    <x v="12"/>
    <n v="39"/>
    <n v="54"/>
    <x v="311"/>
    <n v="214.81200000000004"/>
  </r>
  <r>
    <n v="1429"/>
    <x v="140"/>
    <n v="6"/>
    <x v="6"/>
    <s v="123 6th Street"/>
    <x v="5"/>
    <x v="5"/>
    <n v="99999"/>
    <s v="USA"/>
    <x v="4"/>
    <x v="2"/>
    <d v="2014-12-08T00:00:00"/>
    <s v="Shipping Company C"/>
    <s v="Francisco Pérez-Olaeta"/>
    <s v="123 6th Street"/>
    <x v="5"/>
    <x v="5"/>
    <n v="99999"/>
    <x v="0"/>
    <x v="0"/>
    <x v="2"/>
    <x v="1"/>
    <n v="30"/>
    <n v="33"/>
    <x v="82"/>
    <n v="95.039999999999992"/>
  </r>
  <r>
    <n v="1430"/>
    <x v="140"/>
    <n v="6"/>
    <x v="6"/>
    <s v="123 6th Street"/>
    <x v="5"/>
    <x v="5"/>
    <n v="99999"/>
    <s v="USA"/>
    <x v="4"/>
    <x v="2"/>
    <d v="2014-12-08T00:00:00"/>
    <s v="Shipping Company C"/>
    <s v="Francisco Pérez-Olaeta"/>
    <s v="123 6th Street"/>
    <x v="5"/>
    <x v="5"/>
    <n v="99999"/>
    <x v="0"/>
    <x v="0"/>
    <x v="3"/>
    <x v="1"/>
    <n v="53"/>
    <n v="34"/>
    <x v="312"/>
    <n v="185.60600000000002"/>
  </r>
  <r>
    <n v="1431"/>
    <x v="135"/>
    <n v="4"/>
    <x v="1"/>
    <s v="123 4th Street"/>
    <x v="1"/>
    <x v="1"/>
    <n v="99999"/>
    <s v="USA"/>
    <x v="1"/>
    <x v="1"/>
    <m/>
    <m/>
    <s v="Christina Lee"/>
    <s v="123 4th Street"/>
    <x v="1"/>
    <x v="1"/>
    <n v="99999"/>
    <x v="0"/>
    <x v="3"/>
    <x v="20"/>
    <x v="9"/>
    <n v="38"/>
    <n v="59"/>
    <x v="313"/>
    <n v="226.44200000000001"/>
  </r>
  <r>
    <n v="1432"/>
    <x v="139"/>
    <n v="3"/>
    <x v="5"/>
    <s v="123 3rd Street"/>
    <x v="4"/>
    <x v="4"/>
    <n v="99999"/>
    <s v="USA"/>
    <x v="0"/>
    <x v="0"/>
    <m/>
    <m/>
    <s v="Thomas Axerr"/>
    <s v="123 3rd Street"/>
    <x v="4"/>
    <x v="4"/>
    <n v="99999"/>
    <x v="0"/>
    <x v="3"/>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744DB-B500-4FB1-98D3-E29F5AAE19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1"/>
  </rowFields>
  <rowItems count="4">
    <i>
      <x v="1"/>
    </i>
    <i>
      <x v="12"/>
    </i>
    <i>
      <x v="9"/>
    </i>
    <i t="grand">
      <x/>
    </i>
  </rowItems>
  <colItems count="1">
    <i/>
  </colItems>
  <dataFields count="1">
    <dataField name="Sum of Revenue" fld="24" baseField="0" baseItem="0"/>
  </dataField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1" count="1" selected="0">
            <x v="1"/>
          </reference>
        </references>
      </pivotArea>
    </chartFormat>
    <chartFormat chart="1" format="3">
      <pivotArea type="data" outline="0" fieldPosition="0">
        <references count="2">
          <reference field="4294967294" count="1" selected="0">
            <x v="0"/>
          </reference>
          <reference field="21" count="1" selected="0">
            <x v="3"/>
          </reference>
        </references>
      </pivotArea>
    </chartFormat>
    <chartFormat chart="1" format="4">
      <pivotArea type="data" outline="0" fieldPosition="0">
        <references count="2">
          <reference field="4294967294" count="1" selected="0">
            <x v="0"/>
          </reference>
          <reference field="21" count="1" selected="0">
            <x v="5"/>
          </reference>
        </references>
      </pivotArea>
    </chartFormat>
    <chartFormat chart="1" format="5">
      <pivotArea type="data" outline="0" fieldPosition="0">
        <references count="2">
          <reference field="4294967294" count="1" selected="0">
            <x v="0"/>
          </reference>
          <reference field="21" count="1" selected="0">
            <x v="12"/>
          </reference>
        </references>
      </pivotArea>
    </chartFormat>
    <chartFormat chart="1" format="6">
      <pivotArea type="data" outline="0" fieldPosition="0">
        <references count="2">
          <reference field="4294967294" count="1" selected="0">
            <x v="0"/>
          </reference>
          <reference field="21" count="1" selected="0">
            <x v="9"/>
          </reference>
        </references>
      </pivotArea>
    </chartFormat>
    <chartFormat chart="1" format="7">
      <pivotArea type="data" outline="0" fieldPosition="0">
        <references count="2">
          <reference field="4294967294" count="1" selected="0">
            <x v="0"/>
          </reference>
          <reference field="21" count="1" selected="0">
            <x v="6"/>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1" count="1" selected="0">
            <x v="1"/>
          </reference>
        </references>
      </pivotArea>
    </chartFormat>
    <chartFormat chart="7" format="7">
      <pivotArea type="data" outline="0" fieldPosition="0">
        <references count="2">
          <reference field="4294967294" count="1" selected="0">
            <x v="0"/>
          </reference>
          <reference field="21" count="1" selected="0">
            <x v="12"/>
          </reference>
        </references>
      </pivotArea>
    </chartFormat>
    <chartFormat chart="7" format="8">
      <pivotArea type="data" outline="0" fieldPosition="0">
        <references count="2">
          <reference field="4294967294" count="1" selected="0">
            <x v="0"/>
          </reference>
          <reference field="21" count="1" selected="0">
            <x v="9"/>
          </reference>
        </references>
      </pivotArea>
    </chartFormat>
    <chartFormat chart="4" format="1">
      <pivotArea type="data" outline="0" fieldPosition="0">
        <references count="2">
          <reference field="4294967294" count="1" selected="0">
            <x v="0"/>
          </reference>
          <reference field="21" count="1" selected="0">
            <x v="1"/>
          </reference>
        </references>
      </pivotArea>
    </chartFormat>
    <chartFormat chart="4" format="2">
      <pivotArea type="data" outline="0" fieldPosition="0">
        <references count="2">
          <reference field="4294967294" count="1" selected="0">
            <x v="0"/>
          </reference>
          <reference field="21" count="1" selected="0">
            <x v="12"/>
          </reference>
        </references>
      </pivotArea>
    </chartFormat>
    <chartFormat chart="4" format="3">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7BC1EA-7245-450D-8E2E-063DA55108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de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10"/>
    </i>
    <i>
      <x v="8"/>
    </i>
    <i>
      <x v="6"/>
    </i>
    <i t="grand">
      <x/>
    </i>
  </rowItems>
  <colItems count="1">
    <i/>
  </colItems>
  <dataFields count="1">
    <dataField name="Count of Revenue" fld="24" subtotal="count" baseField="3" baseItem="2"/>
  </dataFields>
  <formats count="3">
    <format dxfId="11">
      <pivotArea collapsedLevelsAreSubtotals="1" fieldPosition="0">
        <references count="1">
          <reference field="3" count="1">
            <x v="11"/>
          </reference>
        </references>
      </pivotArea>
    </format>
    <format dxfId="10">
      <pivotArea outline="0" collapsedLevelsAreSubtotals="1" fieldPosition="0"/>
    </format>
    <format dxfId="9">
      <pivotArea dataOnly="0" labelOnly="1" outline="0" axis="axisValues" fieldPosition="0"/>
    </format>
  </formats>
  <chartFormats count="19">
    <chartFormat chart="18" format="22" series="1">
      <pivotArea type="data" outline="0" fieldPosition="0">
        <references count="1">
          <reference field="4294967294" count="1" selected="0">
            <x v="0"/>
          </reference>
        </references>
      </pivotArea>
    </chartFormat>
    <chartFormat chart="18" format="23">
      <pivotArea type="data" outline="0" fieldPosition="0">
        <references count="2">
          <reference field="4294967294" count="1" selected="0">
            <x v="0"/>
          </reference>
          <reference field="3" count="1" selected="0">
            <x v="11"/>
          </reference>
        </references>
      </pivotArea>
    </chartFormat>
    <chartFormat chart="18" format="24">
      <pivotArea type="data" outline="0" fieldPosition="0">
        <references count="2">
          <reference field="4294967294" count="1" selected="0">
            <x v="0"/>
          </reference>
          <reference field="3" count="1" selected="0">
            <x v="3"/>
          </reference>
        </references>
      </pivotArea>
    </chartFormat>
    <chartFormat chart="18" format="25">
      <pivotArea type="data" outline="0" fieldPosition="0">
        <references count="2">
          <reference field="4294967294" count="1" selected="0">
            <x v="0"/>
          </reference>
          <reference field="3" count="1" selected="0">
            <x v="14"/>
          </reference>
        </references>
      </pivotArea>
    </chartFormat>
    <chartFormat chart="18" format="26">
      <pivotArea type="data" outline="0" fieldPosition="0">
        <references count="2">
          <reference field="4294967294" count="1" selected="0">
            <x v="0"/>
          </reference>
          <reference field="3" count="1" selected="0">
            <x v="10"/>
          </reference>
        </references>
      </pivotArea>
    </chartFormat>
    <chartFormat chart="18" format="27">
      <pivotArea type="data" outline="0" fieldPosition="0">
        <references count="2">
          <reference field="4294967294" count="1" selected="0">
            <x v="0"/>
          </reference>
          <reference field="3" count="1" selected="0">
            <x v="9"/>
          </reference>
        </references>
      </pivotArea>
    </chartFormat>
    <chartFormat chart="18" format="28">
      <pivotArea type="data" outline="0" fieldPosition="0">
        <references count="2">
          <reference field="4294967294" count="1" selected="0">
            <x v="0"/>
          </reference>
          <reference field="3" count="1" selected="0">
            <x v="0"/>
          </reference>
        </references>
      </pivotArea>
    </chartFormat>
    <chartFormat chart="18" format="29">
      <pivotArea type="data" outline="0" fieldPosition="0">
        <references count="2">
          <reference field="4294967294" count="1" selected="0">
            <x v="0"/>
          </reference>
          <reference field="3" count="1" selected="0">
            <x v="6"/>
          </reference>
        </references>
      </pivotArea>
    </chartFormat>
    <chartFormat chart="18" format="30">
      <pivotArea type="data" outline="0" fieldPosition="0">
        <references count="2">
          <reference field="4294967294" count="1" selected="0">
            <x v="0"/>
          </reference>
          <reference field="3" count="1" selected="0">
            <x v="2"/>
          </reference>
        </references>
      </pivotArea>
    </chartFormat>
    <chartFormat chart="18" format="31">
      <pivotArea type="data" outline="0" fieldPosition="0">
        <references count="2">
          <reference field="4294967294" count="1" selected="0">
            <x v="0"/>
          </reference>
          <reference field="3" count="1" selected="0">
            <x v="8"/>
          </reference>
        </references>
      </pivotArea>
    </chartFormat>
    <chartFormat chart="18" format="32">
      <pivotArea type="data" outline="0" fieldPosition="0">
        <references count="2">
          <reference field="4294967294" count="1" selected="0">
            <x v="0"/>
          </reference>
          <reference field="3" count="1" selected="0">
            <x v="5"/>
          </reference>
        </references>
      </pivotArea>
    </chartFormat>
    <chartFormat chart="21"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3" count="1" selected="0">
            <x v="6"/>
          </reference>
        </references>
      </pivotArea>
    </chartFormat>
    <chartFormat chart="23" format="7">
      <pivotArea type="data" outline="0" fieldPosition="0">
        <references count="2">
          <reference field="4294967294" count="1" selected="0">
            <x v="0"/>
          </reference>
          <reference field="3" count="1" selected="0">
            <x v="8"/>
          </reference>
        </references>
      </pivotArea>
    </chartFormat>
    <chartFormat chart="23" format="8">
      <pivotArea type="data" outline="0" fieldPosition="0">
        <references count="2">
          <reference field="4294967294" count="1" selected="0">
            <x v="0"/>
          </reference>
          <reference field="3" count="1" selected="0">
            <x v="10"/>
          </reference>
        </references>
      </pivotArea>
    </chartFormat>
    <chartFormat chart="21" format="1">
      <pivotArea type="data" outline="0" fieldPosition="0">
        <references count="2">
          <reference field="4294967294" count="1" selected="0">
            <x v="0"/>
          </reference>
          <reference field="3" count="1" selected="0">
            <x v="10"/>
          </reference>
        </references>
      </pivotArea>
    </chartFormat>
    <chartFormat chart="21" format="2">
      <pivotArea type="data" outline="0" fieldPosition="0">
        <references count="2">
          <reference field="4294967294" count="1" selected="0">
            <x v="0"/>
          </reference>
          <reference field="3" count="1" selected="0">
            <x v="8"/>
          </reference>
        </references>
      </pivotArea>
    </chartFormat>
    <chartFormat chart="2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E2AE97-7434-4062-9C0A-2E458B74AE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measureFilter="1" sortType="de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showAll="0"/>
    <pivotField showAll="0"/>
    <pivotField showAll="0"/>
    <pivotField showAll="0"/>
    <pivotField showAll="0"/>
    <pivotField showAll="0">
      <items count="13">
        <item x="4"/>
        <item x="3"/>
        <item x="9"/>
        <item x="8"/>
        <item x="7"/>
        <item x="0"/>
        <item x="1"/>
        <item x="2"/>
        <item x="6"/>
        <item x="11"/>
        <item x="10"/>
        <item x="5"/>
        <item t="default"/>
      </items>
    </pivotField>
    <pivotField showAll="0"/>
    <pivotField showAll="0">
      <items count="2">
        <item x="0"/>
        <item t="default"/>
      </items>
    </pivotField>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6"/>
    </i>
    <i>
      <x v="1"/>
    </i>
    <i>
      <x/>
    </i>
    <i t="grand">
      <x/>
    </i>
  </rowItems>
  <colItems count="1">
    <i/>
  </colItems>
  <dataFields count="1">
    <dataField name="Sum of Revenue" fld="24" baseField="0" baseItem="0" numFmtId="166"/>
  </dataFields>
  <formats count="1">
    <format dxfId="8">
      <pivotArea outline="0" collapsedLevelsAreSubtotals="1" fieldPosition="0"/>
    </format>
  </formats>
  <chartFormats count="21">
    <chartFormat chart="3" format="0" series="1">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10" format="18" series="1">
      <pivotArea type="data" outline="0" fieldPosition="0">
        <references count="1">
          <reference field="4294967294" count="1" selected="0">
            <x v="0"/>
          </reference>
        </references>
      </pivotArea>
    </chartFormat>
    <chartFormat chart="6" format="27">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9" count="1" selected="0">
            <x v="6"/>
          </reference>
        </references>
      </pivotArea>
    </chartFormat>
    <chartFormat chart="13" format="7">
      <pivotArea type="data" outline="0" fieldPosition="0">
        <references count="2">
          <reference field="4294967294" count="1" selected="0">
            <x v="0"/>
          </reference>
          <reference field="9" count="1" selected="0">
            <x v="1"/>
          </reference>
        </references>
      </pivotArea>
    </chartFormat>
    <chartFormat chart="13" format="8">
      <pivotArea type="data" outline="0" fieldPosition="0">
        <references count="2">
          <reference field="4294967294" count="1" selected="0">
            <x v="0"/>
          </reference>
          <reference field="9" count="1" selected="0">
            <x v="0"/>
          </reference>
        </references>
      </pivotArea>
    </chartFormat>
    <chartFormat chart="10" format="27">
      <pivotArea type="data" outline="0" fieldPosition="0">
        <references count="2">
          <reference field="4294967294" count="1" selected="0">
            <x v="0"/>
          </reference>
          <reference field="9" count="1" selected="0">
            <x v="0"/>
          </reference>
        </references>
      </pivotArea>
    </chartFormat>
    <chartFormat chart="10" format="28">
      <pivotArea type="data" outline="0" fieldPosition="0">
        <references count="2">
          <reference field="4294967294" count="1" selected="0">
            <x v="0"/>
          </reference>
          <reference field="9" count="1" selected="0">
            <x v="1"/>
          </reference>
        </references>
      </pivotArea>
    </chartFormat>
    <chartFormat chart="6" format="28">
      <pivotArea type="data" outline="0" fieldPosition="0">
        <references count="2">
          <reference field="4294967294" count="1" selected="0">
            <x v="0"/>
          </reference>
          <reference field="9" count="1" selected="0">
            <x v="6"/>
          </reference>
        </references>
      </pivotArea>
    </chartFormat>
    <chartFormat chart="6" format="29">
      <pivotArea type="data" outline="0" fieldPosition="0">
        <references count="2">
          <reference field="4294967294" count="1" selected="0">
            <x v="0"/>
          </reference>
          <reference field="9" count="1" selected="0">
            <x v="1"/>
          </reference>
        </references>
      </pivotArea>
    </chartFormat>
    <chartFormat chart="6" format="30">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6"/>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0"/>
          </reference>
        </references>
      </pivotArea>
    </chartFormat>
    <chartFormat chart="11" format="1">
      <pivotArea type="data" outline="0" fieldPosition="0">
        <references count="2">
          <reference field="4294967294" count="1" selected="0">
            <x v="0"/>
          </reference>
          <reference field="9" count="1" selected="0">
            <x v="6"/>
          </reference>
        </references>
      </pivotArea>
    </chartFormat>
    <chartFormat chart="11" format="2">
      <pivotArea type="data" outline="0" fieldPosition="0">
        <references count="2">
          <reference field="4294967294" count="1" selected="0">
            <x v="0"/>
          </reference>
          <reference field="9" count="1" selected="0">
            <x v="1"/>
          </reference>
        </references>
      </pivotArea>
    </chartFormat>
    <chartFormat chart="11" format="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17531F-41B0-4196-A688-7ED2B13F57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5"/>
        <item h="1" x="3"/>
        <item h="1" x="6"/>
        <item h="1" x="0"/>
        <item h="1" x="4"/>
        <item h="1" x="2"/>
        <item x="7"/>
        <item t="default"/>
      </items>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x="4"/>
        <item h="1" x="7"/>
        <item h="1" x="6"/>
        <item h="1" x="8"/>
        <item h="1"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items count="11">
        <item x="0"/>
        <item x="1"/>
        <item x="2"/>
        <item x="3"/>
        <item x="4"/>
        <item x="5"/>
        <item x="6"/>
        <item x="7"/>
        <item x="8"/>
        <item x="9"/>
        <item t="default"/>
      </items>
    </pivotField>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1"/>
    </i>
    <i>
      <x/>
    </i>
    <i>
      <x v="2"/>
    </i>
    <i>
      <x v="3"/>
    </i>
    <i t="grand">
      <x/>
    </i>
  </rowItems>
  <colItems count="1">
    <i/>
  </colItems>
  <dataFields count="1">
    <dataField name="Sum of Revenue" fld="24" baseField="0" baseItem="0" numFmtId="166"/>
  </dataFields>
  <formats count="1">
    <format dxfId="7">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1"/>
          </reference>
        </references>
      </pivotArea>
    </chartFormat>
    <chartFormat chart="4" format="7">
      <pivotArea type="data" outline="0" fieldPosition="0">
        <references count="2">
          <reference field="4294967294" count="1" selected="0">
            <x v="0"/>
          </reference>
          <reference field="10" count="1" selected="0">
            <x v="0"/>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4" format="9">
      <pivotArea type="data" outline="0" fieldPosition="0">
        <references count="2">
          <reference field="4294967294" count="1" selected="0">
            <x v="0"/>
          </reference>
          <reference field="10"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1"/>
          </reference>
        </references>
      </pivotArea>
    </chartFormat>
    <chartFormat chart="6" format="12">
      <pivotArea type="data" outline="0" fieldPosition="0">
        <references count="2">
          <reference field="4294967294" count="1" selected="0">
            <x v="0"/>
          </reference>
          <reference field="10" count="1" selected="0">
            <x v="0"/>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0" count="1" selected="0">
            <x v="1"/>
          </reference>
        </references>
      </pivotArea>
    </chartFormat>
    <chartFormat chart="10" format="12">
      <pivotArea type="data" outline="0" fieldPosition="0">
        <references count="2">
          <reference field="4294967294" count="1" selected="0">
            <x v="0"/>
          </reference>
          <reference field="10" count="1" selected="0">
            <x v="0"/>
          </reference>
        </references>
      </pivotArea>
    </chartFormat>
    <chartFormat chart="10" format="13">
      <pivotArea type="data" outline="0" fieldPosition="0">
        <references count="2">
          <reference field="4294967294" count="1" selected="0">
            <x v="0"/>
          </reference>
          <reference field="10" count="1" selected="0">
            <x v="2"/>
          </reference>
        </references>
      </pivotArea>
    </chartFormat>
    <chartFormat chart="10"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15F987-C6B2-40E2-8DBC-5948F5E5E4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B15"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pivotField numFmtId="165" showAll="0"/>
    <pivotField showAll="0" defaultSubtotal="0"/>
    <pivotField axis="axisRow" showAll="0" defaultSubtotal="0">
      <items count="14">
        <item x="0"/>
        <item x="1"/>
        <item x="2"/>
        <item x="3"/>
        <item x="4"/>
        <item x="5"/>
        <item x="6"/>
        <item x="7"/>
        <item x="8"/>
        <item x="9"/>
        <item x="10"/>
        <item x="11"/>
        <item x="12"/>
        <item x="13"/>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Revenue" fld="24" baseField="27" baseItem="1" numFmtId="44"/>
  </dataFields>
  <formats count="1">
    <format dxfId="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7" count="1" selected="0">
            <x v="9"/>
          </reference>
        </references>
      </pivotArea>
    </chartFormat>
    <chartFormat chart="10" format="6">
      <pivotArea type="data" outline="0" fieldPosition="0">
        <references count="2">
          <reference field="4294967294" count="1" selected="0">
            <x v="0"/>
          </reference>
          <reference field="27" count="1" selected="0">
            <x v="8"/>
          </reference>
        </references>
      </pivotArea>
    </chartFormat>
    <chartFormat chart="10" format="7">
      <pivotArea type="data" outline="0" fieldPosition="0">
        <references count="2">
          <reference field="4294967294" count="1" selected="0">
            <x v="0"/>
          </reference>
          <reference field="2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9E8279-255F-47BD-8CA2-67CC7C9BB2F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axis="axisRow" dataField="1" numFmtId="165" showAll="0">
      <items count="11">
        <item x="0"/>
        <item x="1"/>
        <item x="2"/>
        <item x="3"/>
        <item x="4"/>
        <item x="5"/>
        <item x="6"/>
        <item x="7"/>
        <item x="8"/>
        <item x="9"/>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4"/>
  </rowFields>
  <rowItems count="8">
    <i>
      <x v="1"/>
    </i>
    <i>
      <x v="2"/>
    </i>
    <i>
      <x v="3"/>
    </i>
    <i>
      <x v="4"/>
    </i>
    <i>
      <x v="5"/>
    </i>
    <i>
      <x v="7"/>
    </i>
    <i>
      <x v="8"/>
    </i>
    <i t="grand">
      <x/>
    </i>
  </rowItems>
  <colItems count="1">
    <i/>
  </colItems>
  <dataFields count="1">
    <dataField name="Count of Revenue" fld="24" subtotal="count" baseField="24"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1"/>
          </reference>
        </references>
      </pivotArea>
    </chartFormat>
    <chartFormat chart="0" format="2">
      <pivotArea type="data" outline="0" fieldPosition="0">
        <references count="2">
          <reference field="4294967294" count="1" selected="0">
            <x v="0"/>
          </reference>
          <reference field="24" count="1" selected="0">
            <x v="2"/>
          </reference>
        </references>
      </pivotArea>
    </chartFormat>
    <chartFormat chart="0" format="3">
      <pivotArea type="data" outline="0" fieldPosition="0">
        <references count="2">
          <reference field="4294967294" count="1" selected="0">
            <x v="0"/>
          </reference>
          <reference field="24" count="1" selected="0">
            <x v="3"/>
          </reference>
        </references>
      </pivotArea>
    </chartFormat>
    <chartFormat chart="0" format="4">
      <pivotArea type="data" outline="0" fieldPosition="0">
        <references count="2">
          <reference field="4294967294" count="1" selected="0">
            <x v="0"/>
          </reference>
          <reference field="24" count="1" selected="0">
            <x v="4"/>
          </reference>
        </references>
      </pivotArea>
    </chartFormat>
    <chartFormat chart="0" format="5">
      <pivotArea type="data" outline="0" fieldPosition="0">
        <references count="2">
          <reference field="4294967294" count="1" selected="0">
            <x v="0"/>
          </reference>
          <reference field="24" count="1" selected="0">
            <x v="5"/>
          </reference>
        </references>
      </pivotArea>
    </chartFormat>
    <chartFormat chart="0" format="6">
      <pivotArea type="data" outline="0" fieldPosition="0">
        <references count="2">
          <reference field="4294967294" count="1" selected="0">
            <x v="0"/>
          </reference>
          <reference field="24" count="1" selected="0">
            <x v="7"/>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4" count="1" selected="0">
            <x v="1"/>
          </reference>
        </references>
      </pivotArea>
    </chartFormat>
    <chartFormat chart="3" format="16">
      <pivotArea type="data" outline="0" fieldPosition="0">
        <references count="2">
          <reference field="4294967294" count="1" selected="0">
            <x v="0"/>
          </reference>
          <reference field="24" count="1" selected="0">
            <x v="2"/>
          </reference>
        </references>
      </pivotArea>
    </chartFormat>
    <chartFormat chart="3" format="17">
      <pivotArea type="data" outline="0" fieldPosition="0">
        <references count="2">
          <reference field="4294967294" count="1" selected="0">
            <x v="0"/>
          </reference>
          <reference field="24" count="1" selected="0">
            <x v="3"/>
          </reference>
        </references>
      </pivotArea>
    </chartFormat>
    <chartFormat chart="3" format="18">
      <pivotArea type="data" outline="0" fieldPosition="0">
        <references count="2">
          <reference field="4294967294" count="1" selected="0">
            <x v="0"/>
          </reference>
          <reference field="24" count="1" selected="0">
            <x v="4"/>
          </reference>
        </references>
      </pivotArea>
    </chartFormat>
    <chartFormat chart="3" format="19">
      <pivotArea type="data" outline="0" fieldPosition="0">
        <references count="2">
          <reference field="4294967294" count="1" selected="0">
            <x v="0"/>
          </reference>
          <reference field="24" count="1" selected="0">
            <x v="5"/>
          </reference>
        </references>
      </pivotArea>
    </chartFormat>
    <chartFormat chart="3" format="20">
      <pivotArea type="data" outline="0" fieldPosition="0">
        <references count="2">
          <reference field="4294967294" count="1" selected="0">
            <x v="0"/>
          </reference>
          <reference field="2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9DD5E0-36C7-4904-AD27-32A8E783F0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h="1" x="2"/>
        <item h="1" x="0"/>
        <item x="1"/>
        <item h="1" x="3"/>
        <item t="default"/>
      </items>
    </pivotField>
    <pivotField showAll="0">
      <items count="26">
        <item h="1" x="18"/>
        <item h="1" x="0"/>
        <item h="1" x="11"/>
        <item h="1" x="12"/>
        <item x="4"/>
        <item h="1" x="7"/>
        <item h="1" x="6"/>
        <item h="1" x="8"/>
        <item h="1"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7">
    <i>
      <x v="8"/>
    </i>
    <i>
      <x v="9"/>
    </i>
    <i>
      <x v="6"/>
    </i>
    <i>
      <x v="5"/>
    </i>
    <i>
      <x v="1"/>
    </i>
    <i>
      <x v="7"/>
    </i>
    <i t="grand">
      <x/>
    </i>
  </rowItems>
  <colItems count="1">
    <i/>
  </colItems>
  <dataFields count="1">
    <dataField name="Sum of Revenue" fld="24" baseField="0" baseItem="0"/>
  </dataFields>
  <formats count="1">
    <format dxfId="5">
      <pivotArea collapsedLevelsAreSubtotals="1" fieldPosition="0">
        <references count="1">
          <reference field="15" count="6">
            <x v="1"/>
            <x v="5"/>
            <x v="6"/>
            <x v="7"/>
            <x v="8"/>
            <x v="9"/>
          </reference>
        </references>
      </pivotArea>
    </format>
  </format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8"/>
          </reference>
        </references>
      </pivotArea>
    </chartFormat>
    <chartFormat chart="1" format="2">
      <pivotArea type="data" outline="0" fieldPosition="0">
        <references count="2">
          <reference field="4294967294" count="1" selected="0">
            <x v="0"/>
          </reference>
          <reference field="15" count="1" selected="0">
            <x v="9"/>
          </reference>
        </references>
      </pivotArea>
    </chartFormat>
    <chartFormat chart="1" format="3">
      <pivotArea type="data" outline="0" fieldPosition="0">
        <references count="2">
          <reference field="4294967294" count="1" selected="0">
            <x v="0"/>
          </reference>
          <reference field="15" count="1" selected="0">
            <x v="6"/>
          </reference>
        </references>
      </pivotArea>
    </chartFormat>
    <chartFormat chart="1" format="4">
      <pivotArea type="data" outline="0" fieldPosition="0">
        <references count="2">
          <reference field="4294967294" count="1" selected="0">
            <x v="0"/>
          </reference>
          <reference field="15" count="1" selected="0">
            <x v="5"/>
          </reference>
        </references>
      </pivotArea>
    </chartFormat>
    <chartFormat chart="1" format="5">
      <pivotArea type="data" outline="0" fieldPosition="0">
        <references count="2">
          <reference field="4294967294" count="1" selected="0">
            <x v="0"/>
          </reference>
          <reference field="15" count="1" selected="0">
            <x v="1"/>
          </reference>
        </references>
      </pivotArea>
    </chartFormat>
    <chartFormat chart="1" format="6">
      <pivotArea type="data" outline="0" fieldPosition="0">
        <references count="2">
          <reference field="4294967294" count="1" selected="0">
            <x v="0"/>
          </reference>
          <reference field="15" count="1" selected="0">
            <x v="7"/>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5" count="1" selected="0">
            <x v="8"/>
          </reference>
        </references>
      </pivotArea>
    </chartFormat>
    <chartFormat chart="4" format="16">
      <pivotArea type="data" outline="0" fieldPosition="0">
        <references count="2">
          <reference field="4294967294" count="1" selected="0">
            <x v="0"/>
          </reference>
          <reference field="15" count="1" selected="0">
            <x v="9"/>
          </reference>
        </references>
      </pivotArea>
    </chartFormat>
    <chartFormat chart="4" format="17">
      <pivotArea type="data" outline="0" fieldPosition="0">
        <references count="2">
          <reference field="4294967294" count="1" selected="0">
            <x v="0"/>
          </reference>
          <reference field="15" count="1" selected="0">
            <x v="6"/>
          </reference>
        </references>
      </pivotArea>
    </chartFormat>
    <chartFormat chart="4" format="18">
      <pivotArea type="data" outline="0" fieldPosition="0">
        <references count="2">
          <reference field="4294967294" count="1" selected="0">
            <x v="0"/>
          </reference>
          <reference field="15" count="1" selected="0">
            <x v="5"/>
          </reference>
        </references>
      </pivotArea>
    </chartFormat>
    <chartFormat chart="4" format="19">
      <pivotArea type="data" outline="0" fieldPosition="0">
        <references count="2">
          <reference field="4294967294" count="1" selected="0">
            <x v="0"/>
          </reference>
          <reference field="15" count="1" selected="0">
            <x v="1"/>
          </reference>
        </references>
      </pivotArea>
    </chartFormat>
    <chartFormat chart="4" format="20">
      <pivotArea type="data" outline="0" fieldPosition="0">
        <references count="2">
          <reference field="4294967294" count="1" selected="0">
            <x v="0"/>
          </reference>
          <reference field="15" count="1" selected="0">
            <x v="7"/>
          </reference>
        </references>
      </pivotArea>
    </chartFormat>
    <chartFormat chart="1" format="7">
      <pivotArea type="data" outline="0" fieldPosition="0">
        <references count="2">
          <reference field="4294967294" count="1" selected="0">
            <x v="0"/>
          </reference>
          <reference field="15" count="1" selected="0">
            <x v="2"/>
          </reference>
        </references>
      </pivotArea>
    </chartFormat>
    <chartFormat chart="1" format="8">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BD8B08-D59F-40AC-A304-FDC299112F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v="8"/>
    </i>
    <i>
      <x v="9"/>
    </i>
    <i>
      <x v="6"/>
    </i>
    <i>
      <x v="5"/>
    </i>
    <i>
      <x v="1"/>
    </i>
    <i t="grand">
      <x/>
    </i>
  </rowItems>
  <colItems count="1">
    <i/>
  </colItems>
  <dataFields count="1">
    <dataField name="Sum of Revenue" fld="24" baseField="0" baseItem="0" numFmtId="44"/>
  </dataFields>
  <formats count="3">
    <format dxfId="4">
      <pivotArea collapsedLevelsAreSubtotals="1" fieldPosition="0">
        <references count="1">
          <reference field="5" count="1">
            <x v="5"/>
          </reference>
        </references>
      </pivotArea>
    </format>
    <format dxfId="3">
      <pivotArea collapsedLevelsAreSubtotals="1" fieldPosition="0">
        <references count="1">
          <reference field="5" count="1">
            <x v="8"/>
          </reference>
        </references>
      </pivotArea>
    </format>
    <format dxfId="2">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9"/>
          </reference>
        </references>
      </pivotArea>
    </chartFormat>
    <chartFormat chart="0" format="4">
      <pivotArea type="data" outline="0" fieldPosition="0">
        <references count="2">
          <reference field="4294967294" count="1" selected="0">
            <x v="0"/>
          </reference>
          <reference field="5" count="1" selected="0">
            <x v="7"/>
          </reference>
        </references>
      </pivotArea>
    </chartFormat>
    <chartFormat chart="0" format="5">
      <pivotArea type="data" outline="0" fieldPosition="0">
        <references count="2">
          <reference field="4294967294" count="1" selected="0">
            <x v="0"/>
          </reference>
          <reference field="5" count="1" selected="0">
            <x v="11"/>
          </reference>
        </references>
      </pivotArea>
    </chartFormat>
    <chartFormat chart="0" format="6">
      <pivotArea type="data" outline="0" fieldPosition="0">
        <references count="2">
          <reference field="4294967294" count="1" selected="0">
            <x v="0"/>
          </reference>
          <reference field="5" count="1" selected="0">
            <x v="8"/>
          </reference>
        </references>
      </pivotArea>
    </chartFormat>
    <chartFormat chart="0" format="7">
      <pivotArea type="data" outline="0" fieldPosition="0">
        <references count="2">
          <reference field="4294967294" count="1" selected="0">
            <x v="0"/>
          </reference>
          <reference field="5" count="1" selected="0">
            <x v="5"/>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5" count="1" selected="0">
            <x v="8"/>
          </reference>
        </references>
      </pivotArea>
    </chartFormat>
    <chartFormat chart="4" format="22">
      <pivotArea type="data" outline="0" fieldPosition="0">
        <references count="2">
          <reference field="4294967294" count="1" selected="0">
            <x v="0"/>
          </reference>
          <reference field="5" count="1" selected="0">
            <x v="9"/>
          </reference>
        </references>
      </pivotArea>
    </chartFormat>
    <chartFormat chart="4" format="23">
      <pivotArea type="data" outline="0" fieldPosition="0">
        <references count="2">
          <reference field="4294967294" count="1" selected="0">
            <x v="0"/>
          </reference>
          <reference field="5" count="1" selected="0">
            <x v="6"/>
          </reference>
        </references>
      </pivotArea>
    </chartFormat>
    <chartFormat chart="4" format="24">
      <pivotArea type="data" outline="0" fieldPosition="0">
        <references count="2">
          <reference field="4294967294" count="1" selected="0">
            <x v="0"/>
          </reference>
          <reference field="5" count="1" selected="0">
            <x v="5"/>
          </reference>
        </references>
      </pivotArea>
    </chartFormat>
    <chartFormat chart="4" format="25">
      <pivotArea type="data" outline="0" fieldPosition="0">
        <references count="2">
          <reference field="4294967294" count="1" selected="0">
            <x v="0"/>
          </reference>
          <reference field="5" count="1" selected="0">
            <x v="1"/>
          </reference>
        </references>
      </pivotArea>
    </chartFormat>
    <chartFormat chart="0" format="8">
      <pivotArea type="data" outline="0" fieldPosition="0">
        <references count="2">
          <reference field="4294967294" count="1" selected="0">
            <x v="0"/>
          </reference>
          <reference field="5" count="1" selected="0">
            <x v="2"/>
          </reference>
        </references>
      </pivotArea>
    </chartFormat>
    <chartFormat chart="0" format="9">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7D0AB4-652F-4FF7-9ACF-60C410D226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axis="axisRow" showAll="0">
      <items count="13">
        <item x="4"/>
        <item x="3"/>
        <item x="9"/>
        <item x="8"/>
        <item x="7"/>
        <item x="0"/>
        <item x="1"/>
        <item x="2"/>
        <item x="6"/>
        <item x="11"/>
        <item x="10"/>
        <item x="5"/>
        <item t="default"/>
      </items>
    </pivotField>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showAll="0"/>
    <pivotField showAll="0"/>
    <pivotField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13">
    <i>
      <x/>
    </i>
    <i>
      <x v="1"/>
    </i>
    <i>
      <x v="2"/>
    </i>
    <i>
      <x v="3"/>
    </i>
    <i>
      <x v="4"/>
    </i>
    <i>
      <x v="5"/>
    </i>
    <i>
      <x v="6"/>
    </i>
    <i>
      <x v="7"/>
    </i>
    <i>
      <x v="8"/>
    </i>
    <i>
      <x v="9"/>
    </i>
    <i>
      <x v="10"/>
    </i>
    <i>
      <x v="11"/>
    </i>
    <i t="grand">
      <x/>
    </i>
  </rowItems>
  <colItems count="1">
    <i/>
  </colItems>
  <dataFields count="1">
    <dataField name="Sum of Revenue" fld="24" baseField="0" baseItem="0" numFmtId="4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543FAA-748C-4648-A4EE-68CEA1B955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28">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h="1" x="1"/>
        <item h="1" x="5"/>
        <item h="1" x="3"/>
        <item h="1" x="6"/>
        <item h="1" x="0"/>
        <item h="1" x="4"/>
        <item h="1" x="2"/>
        <item x="7"/>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5">
        <item h="1" x="2"/>
        <item h="1" x="0"/>
        <item x="1"/>
        <item h="1" x="3"/>
        <item t="default"/>
      </items>
    </pivotField>
    <pivotField showAll="0">
      <items count="26">
        <item h="1" x="18"/>
        <item h="1" x="0"/>
        <item h="1" x="11"/>
        <item h="1" x="12"/>
        <item h="1" x="4"/>
        <item h="1" x="7"/>
        <item h="1" x="6"/>
        <item h="1" x="8"/>
        <item x="5"/>
        <item h="1" x="13"/>
        <item h="1" x="9"/>
        <item h="1" x="3"/>
        <item h="1" x="2"/>
        <item h="1" x="1"/>
        <item h="1" x="19"/>
        <item h="1" x="20"/>
        <item h="1" x="10"/>
        <item h="1" x="24"/>
        <item h="1" x="23"/>
        <item h="1" x="15"/>
        <item h="1" x="22"/>
        <item h="1" x="14"/>
        <item h="1" x="21"/>
        <item h="1" x="16"/>
        <item h="1"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7">
    <i>
      <x v="1"/>
    </i>
    <i>
      <x v="12"/>
    </i>
    <i>
      <x v="9"/>
    </i>
    <i>
      <x v="5"/>
    </i>
    <i>
      <x v="6"/>
    </i>
    <i>
      <x v="3"/>
    </i>
    <i t="grand">
      <x/>
    </i>
  </rowItems>
  <colItems count="1">
    <i/>
  </colItems>
  <dataFields count="1">
    <dataField name="Sum of Revenue" fld="24" baseField="0" baseItem="0" numFmtId="44"/>
  </dataFields>
  <formats count="1">
    <format dxfId="0">
      <pivotArea outline="0" collapsedLevelsAreSubtotals="1" fieldPosition="0"/>
    </format>
  </format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12"/>
          </reference>
        </references>
      </pivotArea>
    </chartFormat>
    <chartFormat chart="0" format="3">
      <pivotArea type="data" outline="0" fieldPosition="0">
        <references count="2">
          <reference field="4294967294" count="1" selected="0">
            <x v="0"/>
          </reference>
          <reference field="21" count="1" selected="0">
            <x v="9"/>
          </reference>
        </references>
      </pivotArea>
    </chartFormat>
    <chartFormat chart="0" format="4">
      <pivotArea type="data" outline="0" fieldPosition="0">
        <references count="2">
          <reference field="4294967294" count="1" selected="0">
            <x v="0"/>
          </reference>
          <reference field="21" count="1" selected="0">
            <x v="5"/>
          </reference>
        </references>
      </pivotArea>
    </chartFormat>
    <chartFormat chart="0" format="5">
      <pivotArea type="data" outline="0" fieldPosition="0">
        <references count="2">
          <reference field="4294967294" count="1" selected="0">
            <x v="0"/>
          </reference>
          <reference field="21" count="1" selected="0">
            <x v="6"/>
          </reference>
        </references>
      </pivotArea>
    </chartFormat>
    <chartFormat chart="0" format="6">
      <pivotArea type="data" outline="0" fieldPosition="0">
        <references count="2">
          <reference field="4294967294" count="1" selected="0">
            <x v="0"/>
          </reference>
          <reference field="21" count="1" selected="0">
            <x v="3"/>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1" count="1" selected="0">
            <x v="1"/>
          </reference>
        </references>
      </pivotArea>
    </chartFormat>
    <chartFormat chart="3" format="16">
      <pivotArea type="data" outline="0" fieldPosition="0">
        <references count="2">
          <reference field="4294967294" count="1" selected="0">
            <x v="0"/>
          </reference>
          <reference field="21" count="1" selected="0">
            <x v="12"/>
          </reference>
        </references>
      </pivotArea>
    </chartFormat>
    <chartFormat chart="3" format="17">
      <pivotArea type="data" outline="0" fieldPosition="0">
        <references count="2">
          <reference field="4294967294" count="1" selected="0">
            <x v="0"/>
          </reference>
          <reference field="21" count="1" selected="0">
            <x v="9"/>
          </reference>
        </references>
      </pivotArea>
    </chartFormat>
    <chartFormat chart="3" format="18">
      <pivotArea type="data" outline="0" fieldPosition="0">
        <references count="2">
          <reference field="4294967294" count="1" selected="0">
            <x v="0"/>
          </reference>
          <reference field="21" count="1" selected="0">
            <x v="5"/>
          </reference>
        </references>
      </pivotArea>
    </chartFormat>
    <chartFormat chart="3" format="19">
      <pivotArea type="data" outline="0" fieldPosition="0">
        <references count="2">
          <reference field="4294967294" count="1" selected="0">
            <x v="0"/>
          </reference>
          <reference field="21" count="1" selected="0">
            <x v="6"/>
          </reference>
        </references>
      </pivotArea>
    </chartFormat>
    <chartFormat chart="3" format="20">
      <pivotArea type="data" outline="0" fieldPosition="0">
        <references count="2">
          <reference field="4294967294" count="1" selected="0">
            <x v="0"/>
          </reference>
          <reference field="21" count="1" selected="0">
            <x v="3"/>
          </reference>
        </references>
      </pivotArea>
    </chartFormat>
    <chartFormat chart="0" format="7">
      <pivotArea type="data" outline="0" fieldPosition="0">
        <references count="2">
          <reference field="4294967294" count="1" selected="0">
            <x v="0"/>
          </reference>
          <reference field="21" count="1" selected="0">
            <x v="7"/>
          </reference>
        </references>
      </pivotArea>
    </chartFormat>
    <chartFormat chart="0" format="8">
      <pivotArea type="data" outline="0" fieldPosition="0">
        <references count="2">
          <reference field="4294967294" count="1" selected="0">
            <x v="0"/>
          </reference>
          <reference field="21" count="1" selected="0">
            <x v="2"/>
          </reference>
        </references>
      </pivotArea>
    </chartFormat>
    <chartFormat chart="0" format="9">
      <pivotArea type="data" outline="0" fieldPosition="0">
        <references count="2">
          <reference field="4294967294" count="1" selected="0">
            <x v="0"/>
          </reference>
          <reference field="21" count="1" selected="0">
            <x v="11"/>
          </reference>
        </references>
      </pivotArea>
    </chartFormat>
    <chartFormat chart="0" format="10">
      <pivotArea type="data" outline="0" fieldPosition="0">
        <references count="2">
          <reference field="4294967294" count="1" selected="0">
            <x v="0"/>
          </reference>
          <reference field="21" count="1" selected="0">
            <x v="8"/>
          </reference>
        </references>
      </pivotArea>
    </chartFormat>
    <chartFormat chart="0" format="11">
      <pivotArea type="data" outline="0" fieldPosition="0">
        <references count="2">
          <reference field="4294967294" count="1" selected="0">
            <x v="0"/>
          </reference>
          <reference field="21" count="1" selected="0">
            <x v="0"/>
          </reference>
        </references>
      </pivotArea>
    </chartFormat>
    <chartFormat chart="0" format="12">
      <pivotArea type="data" outline="0" fieldPosition="0">
        <references count="2">
          <reference field="4294967294" count="1" selected="0">
            <x v="0"/>
          </reference>
          <reference field="21" count="1" selected="0">
            <x v="4"/>
          </reference>
        </references>
      </pivotArea>
    </chartFormat>
    <chartFormat chart="0" format="13">
      <pivotArea type="data" outline="0" fieldPosition="0">
        <references count="2">
          <reference field="4294967294" count="1" selected="0">
            <x v="0"/>
          </reference>
          <reference field="21" count="1" selected="0">
            <x v="14"/>
          </reference>
        </references>
      </pivotArea>
    </chartFormat>
  </chartFormats>
  <pivotTableStyleInfo name="PivotStyleLight16" showRowHeaders="1" showColHeaders="1" showRowStripes="0" showColStripes="0" showLastColumn="1"/>
  <filters count="1">
    <filter fld="21"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97A63AC-1A63-4F41-8C9D-12566A812ADC}" sourceName="Salesperson">
  <pivotTables>
    <pivotTable tabId="20" name="PivotTable2"/>
  </pivotTables>
  <data>
    <tabular pivotCacheId="231759916">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686046-4C01-449C-9FAD-B2F6F9001505}" sourceName="Region">
  <data>
    <tabular pivotCacheId="231759916">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A74EE7D-1192-4E66-B767-3430D94021C2}" sourceName="Product Name">
  <data>
    <tabular pivotCacheId="231759916">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09DCC667-9AE6-4981-A959-F957AE94CDA6}" sourceName="Payment Type">
  <data>
    <tabular pivotCacheId="231759916">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C4373CC-71F0-4F7D-B8FF-8624D2D2CC40}" sourceName="Region">
  <pivotTables>
    <pivotTable tabId="25" name="PivotTable1"/>
  </pivotTables>
  <data>
    <tabular pivotCacheId="231759916">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3668446A-0362-4CCB-A68B-84FF851E4153}" cache="Slicer_Salesperson" caption="Salesperson" rowHeight="209550"/>
  <slicer name="Region" xr10:uid="{18CB997A-513A-4787-B253-63BBC4F57DA4}" cache="Slicer_Region" caption="Region" rowHeight="209550"/>
  <slicer name="Product Name" xr10:uid="{2B98BD18-1D15-4275-8FA4-4B3C6043D04B}" cache="Slicer_Product_Name" caption="Product Name" rowHeight="209550"/>
  <slicer name="Payment Type" xr10:uid="{2A53131D-D0DD-4CF7-9643-48F4773D89B8}" cache="Slicer_Payment_Type" caption="Payment Type"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2FEDD07-5896-46F6-BA6B-A84C3F06276F}" cache="Slicer_Region1" caption="Region" style="SlicerStyleDark5 3 2"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www.excelcampus.com/pivot-tables/pivot-tables-work/"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DB68-4389-4C41-A87C-A12681E6B7C4}">
  <dimension ref="A1"/>
  <sheetViews>
    <sheetView showGridLines="0" topLeftCell="A30" zoomScaleNormal="100" workbookViewId="0">
      <selection activeCell="K29" sqref="K29"/>
    </sheetView>
  </sheetViews>
  <sheetFormatPr defaultRowHeight="15"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11B0-FBC7-4018-8535-AB28D8B77DA8}">
  <dimension ref="A3:B7"/>
  <sheetViews>
    <sheetView workbookViewId="0">
      <selection activeCell="H22" sqref="H22"/>
    </sheetView>
  </sheetViews>
  <sheetFormatPr defaultRowHeight="15" x14ac:dyDescent="0.25"/>
  <cols>
    <col min="1" max="1" width="15.140625" bestFit="1" customWidth="1"/>
    <col min="2" max="2" width="15.5703125" bestFit="1" customWidth="1"/>
  </cols>
  <sheetData>
    <row r="3" spans="1:2" x14ac:dyDescent="0.25">
      <c r="A3" s="10" t="s">
        <v>167</v>
      </c>
      <c r="B3" t="s">
        <v>169</v>
      </c>
    </row>
    <row r="4" spans="1:2" x14ac:dyDescent="0.25">
      <c r="A4" s="11" t="s">
        <v>37</v>
      </c>
      <c r="B4">
        <v>110577.10999999999</v>
      </c>
    </row>
    <row r="5" spans="1:2" x14ac:dyDescent="0.25">
      <c r="A5" s="11" t="s">
        <v>89</v>
      </c>
      <c r="B5">
        <v>69000</v>
      </c>
    </row>
    <row r="6" spans="1:2" x14ac:dyDescent="0.25">
      <c r="A6" s="11" t="s">
        <v>110</v>
      </c>
      <c r="B6">
        <v>51541</v>
      </c>
    </row>
    <row r="7" spans="1:2" x14ac:dyDescent="0.25">
      <c r="A7" s="11" t="s">
        <v>168</v>
      </c>
      <c r="B7">
        <v>231118.11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1"/>
  <sheetViews>
    <sheetView workbookViewId="0">
      <selection activeCell="A16" sqref="A16"/>
    </sheetView>
  </sheetViews>
  <sheetFormatPr defaultRowHeight="15" x14ac:dyDescent="0.25"/>
  <cols>
    <col min="1" max="1" width="66.42578125" customWidth="1"/>
    <col min="3" max="3" width="9.140625" customWidth="1"/>
  </cols>
  <sheetData>
    <row r="2" spans="1:1" ht="21" x14ac:dyDescent="0.35">
      <c r="A2" s="7" t="s">
        <v>161</v>
      </c>
    </row>
    <row r="3" spans="1:1" ht="68.25" customHeight="1" x14ac:dyDescent="0.25">
      <c r="A3" s="9" t="s">
        <v>162</v>
      </c>
    </row>
    <row r="4" spans="1:1" ht="21" x14ac:dyDescent="0.35">
      <c r="A4" s="8" t="s">
        <v>156</v>
      </c>
    </row>
    <row r="5" spans="1:1" ht="21" x14ac:dyDescent="0.35">
      <c r="A5" s="8" t="s">
        <v>157</v>
      </c>
    </row>
    <row r="6" spans="1:1" ht="21" x14ac:dyDescent="0.35">
      <c r="A6" s="8" t="s">
        <v>158</v>
      </c>
    </row>
    <row r="7" spans="1:1" ht="21" x14ac:dyDescent="0.35">
      <c r="A7" s="8" t="s">
        <v>159</v>
      </c>
    </row>
    <row r="8" spans="1:1" ht="21" x14ac:dyDescent="0.35">
      <c r="A8" s="8" t="s">
        <v>160</v>
      </c>
    </row>
    <row r="9" spans="1:1" ht="21" x14ac:dyDescent="0.35">
      <c r="A9" s="8" t="s">
        <v>164</v>
      </c>
    </row>
    <row r="10" spans="1:1" ht="21" x14ac:dyDescent="0.35">
      <c r="A10" s="8" t="s">
        <v>165</v>
      </c>
    </row>
    <row r="11" spans="1:1" ht="21" x14ac:dyDescent="0.35">
      <c r="A11" s="8" t="s">
        <v>166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4B75-2A52-4BDE-AF9B-7E2E36E394BB}">
  <dimension ref="A1"/>
  <sheetViews>
    <sheetView showGridLines="0" zoomScaleNormal="100" workbookViewId="0">
      <selection activeCell="O17" sqref="O17"/>
    </sheetView>
  </sheetViews>
  <sheetFormatPr defaultRowHeight="15"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04493-EE37-4965-B05B-237A15BAE84A}">
  <dimension ref="A3:B19"/>
  <sheetViews>
    <sheetView workbookViewId="0">
      <selection activeCell="B5" sqref="B5"/>
    </sheetView>
  </sheetViews>
  <sheetFormatPr defaultRowHeight="15" x14ac:dyDescent="0.25"/>
  <cols>
    <col min="1" max="1" width="13.140625" bestFit="1" customWidth="1"/>
    <col min="2" max="2" width="17" style="19" bestFit="1" customWidth="1"/>
  </cols>
  <sheetData>
    <row r="3" spans="1:2" x14ac:dyDescent="0.25">
      <c r="A3" s="10" t="s">
        <v>167</v>
      </c>
      <c r="B3" s="20" t="s">
        <v>170</v>
      </c>
    </row>
    <row r="4" spans="1:2" x14ac:dyDescent="0.25">
      <c r="A4" s="11" t="s">
        <v>97</v>
      </c>
      <c r="B4" s="20">
        <v>45</v>
      </c>
    </row>
    <row r="5" spans="1:2" x14ac:dyDescent="0.25">
      <c r="A5" s="11" t="s">
        <v>56</v>
      </c>
      <c r="B5" s="20">
        <v>41</v>
      </c>
    </row>
    <row r="6" spans="1:2" x14ac:dyDescent="0.25">
      <c r="A6" s="11" t="s">
        <v>82</v>
      </c>
      <c r="B6" s="20">
        <v>36</v>
      </c>
    </row>
    <row r="7" spans="1:2" x14ac:dyDescent="0.25">
      <c r="A7" s="11" t="s">
        <v>168</v>
      </c>
      <c r="B7" s="20">
        <v>122</v>
      </c>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C5122-4541-427D-BA17-925A0120705F}">
  <dimension ref="A3:B7"/>
  <sheetViews>
    <sheetView workbookViewId="0">
      <selection activeCell="A6" sqref="A6"/>
    </sheetView>
  </sheetViews>
  <sheetFormatPr defaultRowHeight="15" x14ac:dyDescent="0.25"/>
  <cols>
    <col min="1" max="1" width="15.7109375" bestFit="1" customWidth="1"/>
    <col min="2" max="2" width="15.5703125" bestFit="1" customWidth="1"/>
  </cols>
  <sheetData>
    <row r="3" spans="1:2" x14ac:dyDescent="0.25">
      <c r="A3" s="10" t="s">
        <v>167</v>
      </c>
      <c r="B3" t="s">
        <v>169</v>
      </c>
    </row>
    <row r="4" spans="1:2" x14ac:dyDescent="0.25">
      <c r="A4" s="11" t="s">
        <v>60</v>
      </c>
      <c r="B4" s="12">
        <v>104252.33999999997</v>
      </c>
    </row>
    <row r="5" spans="1:2" x14ac:dyDescent="0.25">
      <c r="A5" s="11" t="s">
        <v>94</v>
      </c>
      <c r="B5" s="12">
        <v>93858.329999999987</v>
      </c>
    </row>
    <row r="6" spans="1:2" x14ac:dyDescent="0.25">
      <c r="A6" s="11" t="s">
        <v>44</v>
      </c>
      <c r="B6" s="12">
        <v>67180.5</v>
      </c>
    </row>
    <row r="7" spans="1:2" x14ac:dyDescent="0.25">
      <c r="A7" s="11" t="s">
        <v>168</v>
      </c>
      <c r="B7" s="12">
        <v>265291.16999999993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5C50-D9AD-43AE-B256-335008C2F9E5}">
  <dimension ref="A3:B8"/>
  <sheetViews>
    <sheetView workbookViewId="0">
      <selection activeCell="J3" sqref="J3"/>
    </sheetView>
  </sheetViews>
  <sheetFormatPr defaultRowHeight="15" x14ac:dyDescent="0.25"/>
  <cols>
    <col min="1" max="1" width="13.140625" bestFit="1" customWidth="1"/>
    <col min="2" max="2" width="15.5703125" bestFit="1" customWidth="1"/>
  </cols>
  <sheetData>
    <row r="3" spans="1:2" x14ac:dyDescent="0.25">
      <c r="A3" s="10" t="s">
        <v>167</v>
      </c>
      <c r="B3" t="s">
        <v>169</v>
      </c>
    </row>
    <row r="4" spans="1:2" x14ac:dyDescent="0.25">
      <c r="A4" s="11" t="s">
        <v>61</v>
      </c>
      <c r="B4" s="12">
        <v>141680.33999999997</v>
      </c>
    </row>
    <row r="5" spans="1:2" x14ac:dyDescent="0.25">
      <c r="A5" s="11" t="s">
        <v>45</v>
      </c>
      <c r="B5" s="12">
        <v>108275.51</v>
      </c>
    </row>
    <row r="6" spans="1:2" x14ac:dyDescent="0.25">
      <c r="A6" s="11" t="s">
        <v>95</v>
      </c>
      <c r="B6" s="12">
        <v>93858.329999999987</v>
      </c>
    </row>
    <row r="7" spans="1:2" x14ac:dyDescent="0.25">
      <c r="A7" s="11" t="s">
        <v>32</v>
      </c>
      <c r="B7" s="12">
        <v>91251.979999999981</v>
      </c>
    </row>
    <row r="8" spans="1:2" x14ac:dyDescent="0.25">
      <c r="A8" s="11" t="s">
        <v>168</v>
      </c>
      <c r="B8" s="12">
        <v>435066.15999999992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A622-2187-41F2-B689-8957047DF19D}">
  <dimension ref="A2:B15"/>
  <sheetViews>
    <sheetView workbookViewId="0">
      <selection activeCell="M10" sqref="M10"/>
    </sheetView>
  </sheetViews>
  <sheetFormatPr defaultRowHeight="15" x14ac:dyDescent="0.25"/>
  <cols>
    <col min="1" max="1" width="13.140625" bestFit="1" customWidth="1"/>
    <col min="2" max="2" width="15.5703125" bestFit="1" customWidth="1"/>
  </cols>
  <sheetData>
    <row r="2" spans="1:2" x14ac:dyDescent="0.25">
      <c r="A2" s="10" t="s">
        <v>167</v>
      </c>
      <c r="B2" t="s">
        <v>169</v>
      </c>
    </row>
    <row r="3" spans="1:2" x14ac:dyDescent="0.25">
      <c r="A3" s="11" t="s">
        <v>175</v>
      </c>
      <c r="B3" s="14">
        <v>32907.839999999997</v>
      </c>
    </row>
    <row r="4" spans="1:2" x14ac:dyDescent="0.25">
      <c r="A4" s="11" t="s">
        <v>176</v>
      </c>
      <c r="B4" s="14">
        <v>19985.5</v>
      </c>
    </row>
    <row r="5" spans="1:2" x14ac:dyDescent="0.25">
      <c r="A5" s="11" t="s">
        <v>177</v>
      </c>
      <c r="B5" s="14">
        <v>30852.6</v>
      </c>
    </row>
    <row r="6" spans="1:2" x14ac:dyDescent="0.25">
      <c r="A6" s="11" t="s">
        <v>187</v>
      </c>
      <c r="B6" s="14">
        <v>20771.789999999997</v>
      </c>
    </row>
    <row r="7" spans="1:2" x14ac:dyDescent="0.25">
      <c r="A7" s="11" t="s">
        <v>178</v>
      </c>
      <c r="B7" s="14">
        <v>34307.049999999996</v>
      </c>
    </row>
    <row r="8" spans="1:2" x14ac:dyDescent="0.25">
      <c r="A8" s="11" t="s">
        <v>179</v>
      </c>
      <c r="B8" s="14">
        <v>55601.61</v>
      </c>
    </row>
    <row r="9" spans="1:2" x14ac:dyDescent="0.25">
      <c r="A9" s="11" t="s">
        <v>180</v>
      </c>
      <c r="B9" s="14">
        <v>27318.539999999997</v>
      </c>
    </row>
    <row r="10" spans="1:2" x14ac:dyDescent="0.25">
      <c r="A10" s="11" t="s">
        <v>181</v>
      </c>
      <c r="B10" s="14">
        <v>29921.459999999995</v>
      </c>
    </row>
    <row r="11" spans="1:2" x14ac:dyDescent="0.25">
      <c r="A11" s="11" t="s">
        <v>182</v>
      </c>
      <c r="B11" s="14">
        <v>31949.97</v>
      </c>
    </row>
    <row r="12" spans="1:2" x14ac:dyDescent="0.25">
      <c r="A12" s="11" t="s">
        <v>183</v>
      </c>
      <c r="B12" s="14">
        <v>53033.59</v>
      </c>
    </row>
    <row r="13" spans="1:2" x14ac:dyDescent="0.25">
      <c r="A13" s="11" t="s">
        <v>184</v>
      </c>
      <c r="B13" s="14">
        <v>31773.429999999997</v>
      </c>
    </row>
    <row r="14" spans="1:2" x14ac:dyDescent="0.25">
      <c r="A14" s="11" t="s">
        <v>185</v>
      </c>
      <c r="B14" s="14">
        <v>66642.78</v>
      </c>
    </row>
    <row r="15" spans="1:2" x14ac:dyDescent="0.25">
      <c r="A15" s="11" t="s">
        <v>168</v>
      </c>
      <c r="B15" s="14">
        <v>435066.15999999992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53DC-CE99-46FB-8B33-026E422874C5}">
  <dimension ref="A3:B11"/>
  <sheetViews>
    <sheetView workbookViewId="0">
      <selection activeCell="M13" sqref="M13"/>
    </sheetView>
  </sheetViews>
  <sheetFormatPr defaultRowHeight="15" x14ac:dyDescent="0.25"/>
  <cols>
    <col min="1" max="1" width="13.140625" bestFit="1" customWidth="1"/>
    <col min="2" max="2" width="17" bestFit="1" customWidth="1"/>
  </cols>
  <sheetData>
    <row r="3" spans="1:2" x14ac:dyDescent="0.25">
      <c r="A3" s="10" t="s">
        <v>167</v>
      </c>
      <c r="B3" t="s">
        <v>170</v>
      </c>
    </row>
    <row r="4" spans="1:2" x14ac:dyDescent="0.25">
      <c r="A4" s="13" t="s">
        <v>171</v>
      </c>
      <c r="B4">
        <v>221</v>
      </c>
    </row>
    <row r="5" spans="1:2" x14ac:dyDescent="0.25">
      <c r="A5" s="13" t="s">
        <v>172</v>
      </c>
      <c r="B5">
        <v>82</v>
      </c>
    </row>
    <row r="6" spans="1:2" x14ac:dyDescent="0.25">
      <c r="A6" s="13" t="s">
        <v>173</v>
      </c>
      <c r="B6">
        <v>32</v>
      </c>
    </row>
    <row r="7" spans="1:2" x14ac:dyDescent="0.25">
      <c r="A7" s="13" t="s">
        <v>186</v>
      </c>
      <c r="B7">
        <v>23</v>
      </c>
    </row>
    <row r="8" spans="1:2" x14ac:dyDescent="0.25">
      <c r="A8" s="13" t="s">
        <v>188</v>
      </c>
      <c r="B8">
        <v>8</v>
      </c>
    </row>
    <row r="9" spans="1:2" x14ac:dyDescent="0.25">
      <c r="A9" s="13" t="s">
        <v>189</v>
      </c>
      <c r="B9">
        <v>2</v>
      </c>
    </row>
    <row r="10" spans="1:2" x14ac:dyDescent="0.25">
      <c r="A10" s="13" t="s">
        <v>190</v>
      </c>
      <c r="B10">
        <v>1</v>
      </c>
    </row>
    <row r="11" spans="1:2" x14ac:dyDescent="0.25">
      <c r="A11" s="13" t="s">
        <v>168</v>
      </c>
      <c r="B11">
        <v>369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9D534-D903-48AA-8AAC-FA68EB3F8A2D}">
  <dimension ref="A1"/>
  <sheetViews>
    <sheetView showGridLines="0" topLeftCell="A27" workbookViewId="0">
      <selection activeCell="U25" sqref="U25"/>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2F4F7-059E-4B3A-96C2-5F48EE233BD4}">
  <dimension ref="A3:B10"/>
  <sheetViews>
    <sheetView workbookViewId="0">
      <selection activeCell="M12" sqref="M12"/>
    </sheetView>
  </sheetViews>
  <sheetFormatPr defaultRowHeight="15" x14ac:dyDescent="0.25"/>
  <cols>
    <col min="1" max="1" width="13.140625" bestFit="1" customWidth="1"/>
    <col min="2" max="2" width="15.5703125" bestFit="1" customWidth="1"/>
  </cols>
  <sheetData>
    <row r="3" spans="1:2" x14ac:dyDescent="0.25">
      <c r="A3" s="10" t="s">
        <v>167</v>
      </c>
      <c r="B3" t="s">
        <v>169</v>
      </c>
    </row>
    <row r="4" spans="1:2" x14ac:dyDescent="0.25">
      <c r="A4" s="11" t="s">
        <v>42</v>
      </c>
      <c r="B4" s="14">
        <v>67180.5</v>
      </c>
    </row>
    <row r="5" spans="1:2" x14ac:dyDescent="0.25">
      <c r="A5" s="11" t="s">
        <v>58</v>
      </c>
      <c r="B5" s="14">
        <v>50208.35</v>
      </c>
    </row>
    <row r="6" spans="1:2" x14ac:dyDescent="0.25">
      <c r="A6" s="11" t="s">
        <v>115</v>
      </c>
      <c r="B6" s="14">
        <v>50145.330000000009</v>
      </c>
    </row>
    <row r="7" spans="1:2" x14ac:dyDescent="0.25">
      <c r="A7" s="11" t="s">
        <v>92</v>
      </c>
      <c r="B7" s="14">
        <v>43713</v>
      </c>
    </row>
    <row r="8" spans="1:2" x14ac:dyDescent="0.25">
      <c r="A8" s="11" t="s">
        <v>99</v>
      </c>
      <c r="B8" s="14">
        <v>41095.01</v>
      </c>
    </row>
    <row r="9" spans="1:2" x14ac:dyDescent="0.25">
      <c r="A9" s="11" t="s">
        <v>84</v>
      </c>
      <c r="B9" s="14">
        <v>37428</v>
      </c>
    </row>
    <row r="10" spans="1:2" x14ac:dyDescent="0.25">
      <c r="A10" s="11" t="s">
        <v>168</v>
      </c>
      <c r="B10">
        <v>289770.19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5A1F-7786-43A3-999C-F4B755DE54F8}">
  <dimension ref="A3:B9"/>
  <sheetViews>
    <sheetView workbookViewId="0">
      <selection activeCell="N11" sqref="N11"/>
    </sheetView>
  </sheetViews>
  <sheetFormatPr defaultRowHeight="15" x14ac:dyDescent="0.25"/>
  <cols>
    <col min="1" max="1" width="13.140625" bestFit="1" customWidth="1"/>
    <col min="2" max="2" width="15.5703125" bestFit="1" customWidth="1"/>
  </cols>
  <sheetData>
    <row r="3" spans="1:2" x14ac:dyDescent="0.25">
      <c r="A3" s="10" t="s">
        <v>167</v>
      </c>
      <c r="B3" t="s">
        <v>169</v>
      </c>
    </row>
    <row r="4" spans="1:2" x14ac:dyDescent="0.25">
      <c r="A4" s="11" t="s">
        <v>42</v>
      </c>
      <c r="B4" s="14">
        <v>67180.5</v>
      </c>
    </row>
    <row r="5" spans="1:2" x14ac:dyDescent="0.25">
      <c r="A5" s="11" t="s">
        <v>58</v>
      </c>
      <c r="B5" s="14">
        <v>50208.35</v>
      </c>
    </row>
    <row r="6" spans="1:2" x14ac:dyDescent="0.25">
      <c r="A6" s="11" t="s">
        <v>115</v>
      </c>
      <c r="B6" s="14">
        <v>50145.330000000009</v>
      </c>
    </row>
    <row r="7" spans="1:2" x14ac:dyDescent="0.25">
      <c r="A7" s="11" t="s">
        <v>92</v>
      </c>
      <c r="B7" s="14">
        <v>43713</v>
      </c>
    </row>
    <row r="8" spans="1:2" x14ac:dyDescent="0.25">
      <c r="A8" s="11" t="s">
        <v>99</v>
      </c>
      <c r="B8" s="14">
        <v>41095.01</v>
      </c>
    </row>
    <row r="9" spans="1:2" x14ac:dyDescent="0.25">
      <c r="A9" s="11" t="s">
        <v>168</v>
      </c>
      <c r="B9" s="14">
        <v>252342.19000000003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6433-22A5-4F1B-BDF4-486D53B7BFE5}">
  <dimension ref="A3:E16"/>
  <sheetViews>
    <sheetView workbookViewId="0">
      <selection activeCell="AW45" sqref="AW45"/>
    </sheetView>
  </sheetViews>
  <sheetFormatPr defaultRowHeight="15" x14ac:dyDescent="0.25"/>
  <cols>
    <col min="1" max="1" width="13.140625" bestFit="1" customWidth="1"/>
    <col min="2" max="2" width="15.5703125" bestFit="1" customWidth="1"/>
    <col min="4" max="4" width="11.28515625" bestFit="1" customWidth="1"/>
    <col min="5" max="5" width="19.140625" bestFit="1" customWidth="1"/>
  </cols>
  <sheetData>
    <row r="3" spans="1:5" x14ac:dyDescent="0.25">
      <c r="A3" s="10" t="s">
        <v>167</v>
      </c>
      <c r="B3" t="s">
        <v>169</v>
      </c>
      <c r="D3" s="16"/>
      <c r="E3" s="16"/>
    </row>
    <row r="4" spans="1:5" x14ac:dyDescent="0.25">
      <c r="A4" s="11" t="s">
        <v>77</v>
      </c>
      <c r="B4" s="14">
        <v>27005.38</v>
      </c>
      <c r="D4" s="15" t="s">
        <v>6</v>
      </c>
      <c r="E4" s="15" t="s">
        <v>174</v>
      </c>
    </row>
    <row r="5" spans="1:5" x14ac:dyDescent="0.25">
      <c r="A5" s="11" t="s">
        <v>69</v>
      </c>
      <c r="B5" s="14">
        <v>16350.5</v>
      </c>
      <c r="D5" s="11" t="s">
        <v>77</v>
      </c>
      <c r="E5" s="14">
        <v>27005.38</v>
      </c>
    </row>
    <row r="6" spans="1:5" x14ac:dyDescent="0.25">
      <c r="A6" s="11" t="s">
        <v>116</v>
      </c>
      <c r="B6" s="14">
        <v>50145.330000000009</v>
      </c>
      <c r="D6" s="11" t="s">
        <v>69</v>
      </c>
      <c r="E6" s="14">
        <v>16350.5</v>
      </c>
    </row>
    <row r="7" spans="1:5" x14ac:dyDescent="0.25">
      <c r="A7" s="11" t="s">
        <v>107</v>
      </c>
      <c r="B7" s="14">
        <v>17204</v>
      </c>
      <c r="D7" s="11" t="s">
        <v>116</v>
      </c>
      <c r="E7" s="14">
        <v>50145.330000000009</v>
      </c>
    </row>
    <row r="8" spans="1:5" x14ac:dyDescent="0.25">
      <c r="A8" s="11" t="s">
        <v>100</v>
      </c>
      <c r="B8" s="14">
        <v>41095.01</v>
      </c>
      <c r="D8" s="11" t="s">
        <v>107</v>
      </c>
      <c r="E8" s="14">
        <v>17204</v>
      </c>
    </row>
    <row r="9" spans="1:5" x14ac:dyDescent="0.25">
      <c r="A9" s="11" t="s">
        <v>29</v>
      </c>
      <c r="B9" s="14">
        <v>15365.5</v>
      </c>
      <c r="D9" s="11" t="s">
        <v>100</v>
      </c>
      <c r="E9" s="14">
        <v>41095.01</v>
      </c>
    </row>
    <row r="10" spans="1:5" x14ac:dyDescent="0.25">
      <c r="A10" s="11" t="s">
        <v>43</v>
      </c>
      <c r="B10" s="14">
        <v>67180.5</v>
      </c>
      <c r="D10" s="11" t="s">
        <v>29</v>
      </c>
      <c r="E10" s="14">
        <v>15365.5</v>
      </c>
    </row>
    <row r="11" spans="1:5" x14ac:dyDescent="0.25">
      <c r="A11" s="11" t="s">
        <v>59</v>
      </c>
      <c r="B11" s="14">
        <v>50208.35</v>
      </c>
      <c r="D11" s="11" t="s">
        <v>43</v>
      </c>
      <c r="E11" s="14">
        <v>67180.5</v>
      </c>
    </row>
    <row r="12" spans="1:5" x14ac:dyDescent="0.25">
      <c r="A12" s="11" t="s">
        <v>93</v>
      </c>
      <c r="B12" s="14">
        <v>43713</v>
      </c>
      <c r="D12" s="11" t="s">
        <v>59</v>
      </c>
      <c r="E12" s="14">
        <v>50208.35</v>
      </c>
    </row>
    <row r="13" spans="1:5" x14ac:dyDescent="0.25">
      <c r="A13" s="11" t="s">
        <v>128</v>
      </c>
      <c r="B13" s="14">
        <v>32530.6</v>
      </c>
      <c r="D13" s="11" t="s">
        <v>93</v>
      </c>
      <c r="E13" s="14">
        <v>43713</v>
      </c>
    </row>
    <row r="14" spans="1:5" x14ac:dyDescent="0.25">
      <c r="A14" s="11" t="s">
        <v>121</v>
      </c>
      <c r="B14" s="14">
        <v>36839.990000000005</v>
      </c>
      <c r="D14" s="11" t="s">
        <v>128</v>
      </c>
      <c r="E14" s="14">
        <v>32530.6</v>
      </c>
    </row>
    <row r="15" spans="1:5" x14ac:dyDescent="0.25">
      <c r="A15" s="11" t="s">
        <v>85</v>
      </c>
      <c r="B15" s="14">
        <v>37428</v>
      </c>
      <c r="D15" s="11" t="s">
        <v>121</v>
      </c>
      <c r="E15" s="14">
        <v>36839.990000000005</v>
      </c>
    </row>
    <row r="16" spans="1:5" x14ac:dyDescent="0.25">
      <c r="A16" s="11" t="s">
        <v>168</v>
      </c>
      <c r="B16" s="14">
        <v>435066.16</v>
      </c>
      <c r="D16" s="11" t="s">
        <v>85</v>
      </c>
      <c r="E16" s="14">
        <v>37428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327B-59D6-493C-8108-92CDCC93C47E}">
  <dimension ref="A3:B10"/>
  <sheetViews>
    <sheetView workbookViewId="0">
      <selection activeCell="A3" sqref="A3"/>
    </sheetView>
  </sheetViews>
  <sheetFormatPr defaultRowHeight="15" x14ac:dyDescent="0.25"/>
  <cols>
    <col min="1" max="1" width="17" bestFit="1" customWidth="1"/>
    <col min="2" max="2" width="15.5703125" bestFit="1" customWidth="1"/>
  </cols>
  <sheetData>
    <row r="3" spans="1:2" x14ac:dyDescent="0.25">
      <c r="A3" s="10" t="s">
        <v>167</v>
      </c>
      <c r="B3" t="s">
        <v>169</v>
      </c>
    </row>
    <row r="4" spans="1:2" x14ac:dyDescent="0.25">
      <c r="A4" s="11" t="s">
        <v>37</v>
      </c>
      <c r="B4" s="14">
        <v>110577.10999999999</v>
      </c>
    </row>
    <row r="5" spans="1:2" x14ac:dyDescent="0.25">
      <c r="A5" s="11" t="s">
        <v>89</v>
      </c>
      <c r="B5" s="14">
        <v>69000</v>
      </c>
    </row>
    <row r="6" spans="1:2" x14ac:dyDescent="0.25">
      <c r="A6" s="11" t="s">
        <v>110</v>
      </c>
      <c r="B6" s="14">
        <v>51541</v>
      </c>
    </row>
    <row r="7" spans="1:2" x14ac:dyDescent="0.25">
      <c r="A7" s="11" t="s">
        <v>134</v>
      </c>
      <c r="B7" s="14">
        <v>33129.600000000006</v>
      </c>
    </row>
    <row r="8" spans="1:2" x14ac:dyDescent="0.25">
      <c r="A8" s="11" t="s">
        <v>39</v>
      </c>
      <c r="B8" s="14">
        <v>27999.5</v>
      </c>
    </row>
    <row r="9" spans="1:2" x14ac:dyDescent="0.25">
      <c r="A9" s="11" t="s">
        <v>124</v>
      </c>
      <c r="B9" s="14">
        <v>25465.599999999999</v>
      </c>
    </row>
    <row r="10" spans="1:2" x14ac:dyDescent="0.25">
      <c r="A10" s="11" t="s">
        <v>168</v>
      </c>
      <c r="B10" s="14">
        <v>317712.81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zoomScale="94" zoomScaleNormal="100" workbookViewId="0">
      <pane ySplit="1" topLeftCell="A2" activePane="bottomLeft" state="frozen"/>
      <selection pane="bottomLeft" activeCell="F15" sqref="F15"/>
    </sheetView>
  </sheetViews>
  <sheetFormatPr defaultRowHeight="15" x14ac:dyDescent="0.25"/>
  <cols>
    <col min="1" max="1" width="10.5703125" customWidth="1"/>
    <col min="2" max="2" width="10.7109375" bestFit="1" customWidth="1"/>
    <col min="3" max="3" width="14.140625" bestFit="1" customWidth="1"/>
    <col min="4" max="4" width="15.42578125" bestFit="1" customWidth="1"/>
    <col min="5" max="5" width="14.28515625" bestFit="1" customWidth="1"/>
    <col min="6" max="6" width="12.5703125" bestFit="1" customWidth="1"/>
    <col min="7" max="7" width="5.5703125" bestFit="1" customWidth="1"/>
    <col min="8" max="9" width="15.140625" bestFit="1" customWidth="1"/>
    <col min="10" max="10" width="19.7109375" bestFit="1" customWidth="1"/>
    <col min="11" max="11" width="7.140625" bestFit="1" customWidth="1"/>
    <col min="12" max="12" width="12.85546875" bestFit="1" customWidth="1"/>
    <col min="13" max="13" width="19.42578125" bestFit="1" customWidth="1"/>
    <col min="14" max="14" width="21.5703125" bestFit="1" customWidth="1"/>
    <col min="15" max="15" width="14.28515625" bestFit="1" customWidth="1"/>
    <col min="16" max="16" width="12.5703125" bestFit="1" customWidth="1"/>
    <col min="17" max="17" width="9.85546875" bestFit="1" customWidth="1"/>
    <col min="18" max="19" width="19.5703125" bestFit="1" customWidth="1"/>
    <col min="20" max="20" width="13.7109375" bestFit="1" customWidth="1"/>
    <col min="21" max="21" width="21" bestFit="1" customWidth="1"/>
    <col min="22" max="22" width="25" bestFit="1" customWidth="1"/>
    <col min="23" max="23" width="9.7109375" bestFit="1" customWidth="1"/>
    <col min="24" max="24" width="8.7109375" bestFit="1" customWidth="1"/>
    <col min="25" max="25" width="19.5703125" customWidth="1"/>
    <col min="26" max="26" width="14.8554687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2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2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2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2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2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2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2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2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2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2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2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2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2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2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2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2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2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2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2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2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2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2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2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2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2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2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2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2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2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2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2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2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2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2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2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2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2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2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2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2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2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2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2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2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2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2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2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2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2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2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2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2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2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2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2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2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2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2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2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2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2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2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2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2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2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2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2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2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2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2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2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2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2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2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2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2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2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2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2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2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2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2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2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2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2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2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2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2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2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2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2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2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2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2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2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2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2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2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2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2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2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2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2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2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2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2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2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2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2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2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2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2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2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2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2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2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2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2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2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2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2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2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2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2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2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2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2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2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2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2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2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2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2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2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2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2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2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2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2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2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2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2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2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2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2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2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2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2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2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2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2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2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2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2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2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2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2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2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2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2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2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2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2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2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2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2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2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2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2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2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2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2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2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2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2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2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2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2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2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2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2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2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2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2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2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2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2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2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2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2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2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2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2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2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2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2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2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2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2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2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2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2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2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2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2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2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2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2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2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2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2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2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2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2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2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2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2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2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2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2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2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2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2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2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2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2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2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2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2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2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2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2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2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2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2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2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2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2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2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2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2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2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2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2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2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2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2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2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2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2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2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2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2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2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2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2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2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2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2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2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2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2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2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2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2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2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2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2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2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2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2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2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2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2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2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2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2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2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2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2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2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2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2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2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2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2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2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2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2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2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2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2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2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2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2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2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2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2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2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2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2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2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2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2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2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2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2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2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2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2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2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2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2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2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2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2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2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2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2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2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2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2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2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2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2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2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2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2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2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2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2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2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2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2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2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2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2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2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2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2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2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2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2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2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2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2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2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2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2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2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2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2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2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2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2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2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2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2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2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2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2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2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2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2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2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2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2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2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M29" sqref="M29"/>
    </sheetView>
  </sheetViews>
  <sheetFormatPr defaultRowHeight="15" x14ac:dyDescent="0.25"/>
  <sheetData>
    <row r="19" spans="2:3" x14ac:dyDescent="0.25">
      <c r="B19" s="6" t="s">
        <v>153</v>
      </c>
      <c r="C19" t="s">
        <v>154</v>
      </c>
    </row>
    <row r="20" spans="2:3" x14ac:dyDescent="0.25">
      <c r="B20" s="6" t="s">
        <v>152</v>
      </c>
      <c r="C20" s="5" t="s">
        <v>155</v>
      </c>
    </row>
  </sheetData>
  <hyperlinks>
    <hyperlink ref="C20" r:id="rId1" xr:uid="{00000000-0004-0000-0200-000000000000}"/>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9F50-A71E-4C29-9CF6-E38044522A8B}">
  <dimension ref="A1"/>
  <sheetViews>
    <sheetView showGridLines="0" workbookViewId="0">
      <selection activeCell="C21" sqref="C21"/>
    </sheetView>
  </sheetViews>
  <sheetFormatPr defaultRowHeight="15" x14ac:dyDescent="0.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07DD-A2A0-4D99-AB45-0FFF0F3E567D}">
  <dimension ref="A1:A7"/>
  <sheetViews>
    <sheetView showGridLines="0" zoomScale="40" zoomScaleNormal="40" workbookViewId="0">
      <selection activeCell="A7" sqref="A1:XFD7"/>
    </sheetView>
  </sheetViews>
  <sheetFormatPr defaultRowHeight="15" x14ac:dyDescent="0.25"/>
  <cols>
    <col min="1" max="16384" width="9.140625" style="17"/>
  </cols>
  <sheetData>
    <row r="1" s="17" customFormat="1" x14ac:dyDescent="0.25"/>
    <row r="2" s="17" customFormat="1" x14ac:dyDescent="0.25"/>
    <row r="3" s="17" customFormat="1" x14ac:dyDescent="0.25"/>
    <row r="4" s="17" customFormat="1" x14ac:dyDescent="0.25"/>
    <row r="5" s="17" customFormat="1" x14ac:dyDescent="0.25"/>
    <row r="6" s="17" customFormat="1" x14ac:dyDescent="0.25"/>
    <row r="7" s="17"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BD10-75CA-4BFB-B5D1-55C3ACA353C2}">
  <dimension ref="N30"/>
  <sheetViews>
    <sheetView showGridLines="0" tabSelected="1" zoomScale="90" zoomScaleNormal="90" workbookViewId="0">
      <selection activeCell="H38" sqref="H38"/>
    </sheetView>
  </sheetViews>
  <sheetFormatPr defaultRowHeight="15" x14ac:dyDescent="0.25"/>
  <cols>
    <col min="1" max="16384" width="9.140625" style="18"/>
  </cols>
  <sheetData>
    <row r="30" spans="14:14" x14ac:dyDescent="0.25">
      <c r="N30"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A452-1E34-4DE8-9307-4CF325B9467A}">
  <dimension ref="A1"/>
  <sheetViews>
    <sheetView showGridLines="0" topLeftCell="H66" workbookViewId="0">
      <selection activeCell="AA29" sqref="AA29"/>
    </sheetView>
  </sheetViews>
  <sheetFormatPr defaultRowHeight="15" x14ac:dyDescent="0.25"/>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BEF42-88DA-41BA-81B5-FB5ADB3F996E}">
  <dimension ref="A1"/>
  <sheetViews>
    <sheetView showGridLines="0" workbookViewId="0">
      <selection activeCell="T54" sqref="T54"/>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Pre Analysis Board</vt:lpstr>
      <vt:lpstr>Product By Sale Category</vt:lpstr>
      <vt:lpstr>Task</vt:lpstr>
      <vt:lpstr>In Analysis Board</vt:lpstr>
      <vt:lpstr>Top ten customers</vt:lpstr>
      <vt:lpstr>Sales Performance</vt:lpstr>
      <vt:lpstr>Regional Performance</vt:lpstr>
      <vt:lpstr>Sales Trend Report</vt:lpstr>
      <vt:lpstr>Transaction By Amount</vt:lpstr>
      <vt:lpstr>In Analysis</vt:lpstr>
      <vt:lpstr>Top Six Ship City </vt:lpstr>
      <vt:lpstr>Top Five City By Revenue</vt:lpstr>
      <vt:lpstr>Performance By State</vt:lpstr>
      <vt:lpstr>Sales By Product Category</vt:lpstr>
      <vt:lpstr>Data (2)</vt:lpstr>
      <vt:lpstr>Pivot Table Diagram</vt:lpstr>
      <vt:lpstr>Analysis Board</vt:lpstr>
      <vt:lpstr>Dashboard</vt:lpstr>
      <vt:lpstr>Visualization</vt:lpstr>
      <vt:lpstr>Post Analysis Observation</vt:lpstr>
      <vt:lpstr>Post Analysis Recommendation</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dc:creator>
  <cp:lastModifiedBy>Adebiyi Adeola</cp:lastModifiedBy>
  <dcterms:created xsi:type="dcterms:W3CDTF">2015-01-21T18:43:03Z</dcterms:created>
  <dcterms:modified xsi:type="dcterms:W3CDTF">2025-12-06T03:34:33Z</dcterms:modified>
</cp:coreProperties>
</file>